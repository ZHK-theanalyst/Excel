
<file path=[Content_Types].xml><?xml version="1.0" encoding="utf-8"?>
<Types xmlns="http://schemas.openxmlformats.org/package/2006/content-types">
  <Default Extension="data" ContentType="application/vnd.openxmlformats-officedocument.model+data"/>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slicers/slicer1.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2001_{A176AFA1-6E31-4A1E-B0BC-775D4386C14D}" xr6:coauthVersionLast="47" xr6:coauthVersionMax="47" xr10:uidLastSave="{00000000-0000-0000-0000-000000000000}"/>
  <bookViews>
    <workbookView xWindow="-120" yWindow="-120" windowWidth="20730" windowHeight="11040" firstSheet="1" activeTab="4" xr2:uid="{00000000-000D-0000-FFFF-FFFF00000000}"/>
  </bookViews>
  <sheets>
    <sheet name="Finance" sheetId="2" r:id="rId1"/>
    <sheet name="Forecast Analysis" sheetId="7" r:id="rId2"/>
    <sheet name="Analysis" sheetId="3" r:id="rId3"/>
    <sheet name="Charts" sheetId="4" r:id="rId4"/>
    <sheet name="Dashboard" sheetId="8" r:id="rId5"/>
  </sheets>
  <definedNames>
    <definedName name="_xlcn.WorksheetConnection_finance_dataset_2018_2022.xlsxFinance1" hidden="1">Finance[]</definedName>
    <definedName name="_xlcn.WorksheetConnection_finance_dataset_2018_2022.xlsxTable11" hidden="1">Table1</definedName>
    <definedName name="ExternalData_1" localSheetId="0" hidden="1">Finance!$A$1:$J$961</definedName>
    <definedName name="Slicer_Date__Month">#N/A</definedName>
    <definedName name="Slicer_Region">#N/A</definedName>
  </definedNames>
  <calcPr calcId="191029"/>
  <pivotCaches>
    <pivotCache cacheId="2367" r:id="rId6"/>
    <pivotCache cacheId="2370" r:id="rId7"/>
    <pivotCache cacheId="2373" r:id="rId8"/>
    <pivotCache cacheId="2376" r:id="rId9"/>
    <pivotCache cacheId="2379" r:id="rId10"/>
    <pivotCache cacheId="2382" r:id="rId11"/>
    <pivotCache cacheId="2385" r:id="rId12"/>
    <pivotCache cacheId="2388" r:id="rId13"/>
    <pivotCache cacheId="2391" r:id="rId14"/>
    <pivotCache cacheId="2394" r:id="rId15"/>
    <pivotCache cacheId="2397" r:id="rId16"/>
    <pivotCache cacheId="2400" r:id="rId17"/>
    <pivotCache cacheId="2403" r:id="rId18"/>
    <pivotCache cacheId="2406" r:id="rId19"/>
    <pivotCache cacheId="2409" r:id="rId20"/>
    <pivotCache cacheId="2412" r:id="rId21"/>
    <pivotCache cacheId="2415" r:id="rId22"/>
  </pivotCaches>
  <fileRecoveryPr repairLoad="1"/>
  <extLst>
    <ext xmlns:x14="http://schemas.microsoft.com/office/spreadsheetml/2009/9/main" uri="{876F7934-8845-4945-9796-88D515C7AA90}">
      <x14:pivotCaches>
        <pivotCache cacheId="19" r:id="rId23"/>
      </x14:pivotCaches>
    </ex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finance_dataset_2018_2022.xlsx!Table1"/>
          <x15:modelTable id="Finance" name="Finance" connection="WorksheetConnection_finance_dataset_2018_2022.xlsx!Finance"/>
        </x15:modelTables>
        <x15:extLst>
          <ext xmlns:x16="http://schemas.microsoft.com/office/spreadsheetml/2014/11/main" uri="{9835A34E-60A6-4A7C-AAB8-D5F71C897F49}">
            <x16:modelTimeGroupings>
              <x16:modelTimeGrouping tableName="Finance" columnName="Date" columnId="Date">
                <x16:calculatedTimeColumn columnName="Date (Year)" columnId="Date (Year)" contentType="years" isSelected="1"/>
                <x16:calculatedTimeColumn columnName="Date (Quarter)" columnId="Date (Quarter)" contentType="quarters" isSelected="0"/>
                <x16:calculatedTimeColumn columnName="Date (Month Index)" columnId="Date (Month Index)" contentType="monthsindex" isSelected="0"/>
                <x16:calculatedTimeColumn columnName="Date (Month)" columnId="Date (Month)" contentType="month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2" i="7" l="1"/>
  <c r="C66" i="7"/>
  <c r="C70" i="7"/>
  <c r="C74" i="7"/>
  <c r="C78" i="7"/>
  <c r="C82" i="7"/>
  <c r="H2" i="7"/>
  <c r="H6" i="7"/>
  <c r="C68" i="7"/>
  <c r="C77" i="7"/>
  <c r="H5" i="7"/>
  <c r="C63" i="7"/>
  <c r="C67" i="7"/>
  <c r="C71" i="7"/>
  <c r="C75" i="7"/>
  <c r="C79" i="7"/>
  <c r="C83" i="7"/>
  <c r="H3" i="7"/>
  <c r="H7" i="7"/>
  <c r="C72" i="7"/>
  <c r="C73" i="7"/>
  <c r="C81" i="7"/>
  <c r="C64" i="7"/>
  <c r="C76" i="7"/>
  <c r="C80" i="7"/>
  <c r="C84" i="7"/>
  <c r="H4" i="7"/>
  <c r="H8" i="7"/>
  <c r="C69" i="7"/>
  <c r="C85" i="7"/>
  <c r="C65" i="7"/>
  <c r="D65" i="7" l="1"/>
  <c r="E69" i="7"/>
  <c r="D80" i="7"/>
  <c r="D64" i="7"/>
  <c r="D73" i="7"/>
  <c r="D83" i="7"/>
  <c r="D75" i="7"/>
  <c r="D67" i="7"/>
  <c r="E77" i="7"/>
  <c r="D82" i="7"/>
  <c r="D74" i="7"/>
  <c r="D66" i="7"/>
  <c r="D84" i="7"/>
  <c r="D81" i="7"/>
  <c r="D71" i="7"/>
  <c r="D78" i="7"/>
  <c r="E85" i="7"/>
  <c r="E81" i="7"/>
  <c r="E71" i="7"/>
  <c r="E78" i="7"/>
  <c r="E65" i="7"/>
  <c r="D69" i="7"/>
  <c r="E80" i="7"/>
  <c r="E64" i="7"/>
  <c r="E73" i="7"/>
  <c r="E83" i="7"/>
  <c r="E75" i="7"/>
  <c r="E67" i="7"/>
  <c r="D77" i="7"/>
  <c r="E82" i="7"/>
  <c r="E74" i="7"/>
  <c r="E66" i="7"/>
  <c r="D85" i="7"/>
  <c r="D76" i="7"/>
  <c r="D72" i="7"/>
  <c r="D79" i="7"/>
  <c r="D63" i="7"/>
  <c r="D68" i="7"/>
  <c r="D70" i="7"/>
  <c r="D62" i="7"/>
  <c r="E84" i="7"/>
  <c r="E76" i="7"/>
  <c r="E72" i="7"/>
  <c r="E79" i="7"/>
  <c r="E63" i="7"/>
  <c r="E68" i="7"/>
  <c r="E70" i="7"/>
  <c r="E6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861AD6-EA59-4171-8CE9-B74C18491F80}" keepAlive="1" name="Query - Finance" description="Connection to the 'Finance' query in the workbook." type="5" refreshedVersion="8" background="1" saveData="1">
    <dbPr connection="Provider=Microsoft.Mashup.OleDb.1;Data Source=$Workbook$;Location=Finance;Extended Properties=&quot;&quot;" command="SELECT * FROM [Finance]"/>
  </connection>
  <connection id="2" xr16:uid="{13ED8D81-9558-4EDA-B59A-1EA5A55DF901}" keepAlive="1" name="Query - Finance (2)" description="Connection to the 'Finance (2)' query in the workbook." type="5" refreshedVersion="8" background="1" saveData="1">
    <dbPr connection="Provider=Microsoft.Mashup.OleDb.1;Data Source=$Workbook$;Location=&quot;Finance (2)&quot;;Extended Properties=&quot;&quot;" command="SELECT * FROM [Finance (2)]"/>
  </connection>
  <connection id="3" xr16:uid="{6AFC5D05-845D-464D-A160-C44F6E9B270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6082D03B-7306-4A6E-BC4E-A65A2CC79B82}" name="WorksheetConnection_finance_dataset_2018_2022.xlsx!Finance" type="102" refreshedVersion="8" minRefreshableVersion="5">
    <extLst>
      <ext xmlns:x15="http://schemas.microsoft.com/office/spreadsheetml/2010/11/main" uri="{DE250136-89BD-433C-8126-D09CA5730AF9}">
        <x15:connection id="Finance">
          <x15:rangePr sourceName="_xlcn.WorksheetConnection_finance_dataset_2018_2022.xlsxFinance1"/>
        </x15:connection>
      </ext>
    </extLst>
  </connection>
  <connection id="5" xr16:uid="{2BA8436E-AD91-4612-B4FA-F1D66F92851D}" name="WorksheetConnection_finance_dataset_2018_2022.xlsx!Table1" type="102" refreshedVersion="8" minRefreshableVersion="5">
    <extLst>
      <ext xmlns:x15="http://schemas.microsoft.com/office/spreadsheetml/2010/11/main" uri="{DE250136-89BD-433C-8126-D09CA5730AF9}">
        <x15:connection id="Table1">
          <x15:rangePr sourceName="_xlcn.WorksheetConnection_finance_dataset_2018_2022.xlsxTable11"/>
        </x15:connection>
      </ext>
    </extLst>
  </connection>
</connections>
</file>

<file path=xl/sharedStrings.xml><?xml version="1.0" encoding="utf-8"?>
<sst xmlns="http://schemas.openxmlformats.org/spreadsheetml/2006/main" count="2044" uniqueCount="46">
  <si>
    <t>Date</t>
  </si>
  <si>
    <t>Region</t>
  </si>
  <si>
    <t>Department</t>
  </si>
  <si>
    <t>Revenue</t>
  </si>
  <si>
    <t>Operating_Expenses</t>
  </si>
  <si>
    <t>Gross_Profit</t>
  </si>
  <si>
    <t>Net_Profit</t>
  </si>
  <si>
    <t>Assets</t>
  </si>
  <si>
    <t>Liabilities</t>
  </si>
  <si>
    <t>Equity</t>
  </si>
  <si>
    <t>North</t>
  </si>
  <si>
    <t>South</t>
  </si>
  <si>
    <t>East</t>
  </si>
  <si>
    <t>West</t>
  </si>
  <si>
    <t>Sales</t>
  </si>
  <si>
    <t>R&amp;D</t>
  </si>
  <si>
    <t>Marketing</t>
  </si>
  <si>
    <t>Admin</t>
  </si>
  <si>
    <t>Column Labels</t>
  </si>
  <si>
    <t>Grand Total</t>
  </si>
  <si>
    <t>2018</t>
  </si>
  <si>
    <t>2019</t>
  </si>
  <si>
    <t>2020</t>
  </si>
  <si>
    <t>2021</t>
  </si>
  <si>
    <t>2022</t>
  </si>
  <si>
    <t>Row Labels</t>
  </si>
  <si>
    <t>NetProfit</t>
  </si>
  <si>
    <t>Sum of Cost Efficiency</t>
  </si>
  <si>
    <t>Average of Operating Margin</t>
  </si>
  <si>
    <t>Sum of Operating_Expenses</t>
  </si>
  <si>
    <t>ROA</t>
  </si>
  <si>
    <t>ROE</t>
  </si>
  <si>
    <t>Forecast(Revenue)</t>
  </si>
  <si>
    <t>Lower Confidence Bound(Revenue)</t>
  </si>
  <si>
    <t>Upper Confidence Bound(Revenue)</t>
  </si>
  <si>
    <t>Statistic</t>
  </si>
  <si>
    <t>Value</t>
  </si>
  <si>
    <t>Alpha</t>
  </si>
  <si>
    <t>Beta</t>
  </si>
  <si>
    <t>Gamma</t>
  </si>
  <si>
    <t>MASE</t>
  </si>
  <si>
    <t>SMAPE</t>
  </si>
  <si>
    <t>MAE</t>
  </si>
  <si>
    <t>RMSE</t>
  </si>
  <si>
    <t>TotalProfit</t>
  </si>
  <si>
    <t>ProfitMargin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</si>
</sst>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409]* #,##0.0_ ;_-[$$-409]* \-#,##0.0\ ;_-[$$-409]* &quot;-&quot;??_ ;_-@_ "/>
    <numFmt numFmtId="165" formatCode="0.0"/>
    <numFmt numFmtId="166" formatCode="0.0%"/>
    <numFmt numFmtId="170" formatCode="_-[$$-409]* #,##0.00_ ;_-[$$-409]* \-#,##0.00\ ;_-[$$-409]* &quot;-&quot;??_ ;_-@_ "/>
  </numFmts>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165" fontId="0" fillId="0" borderId="0" xfId="0" applyNumberFormat="1"/>
    <xf numFmtId="4" fontId="0" fillId="0" borderId="0" xfId="0" applyNumberFormat="1"/>
    <xf numFmtId="10" fontId="0" fillId="0" borderId="0" xfId="0" applyNumberFormat="1"/>
    <xf numFmtId="166" fontId="0" fillId="0" borderId="0" xfId="0" applyNumberFormat="1"/>
    <xf numFmtId="9" fontId="0" fillId="0" borderId="0" xfId="0" applyNumberFormat="1"/>
    <xf numFmtId="0" fontId="0" fillId="0" borderId="0" xfId="0" applyFont="1"/>
    <xf numFmtId="170" fontId="0" fillId="0" borderId="0" xfId="0" applyNumberFormat="1"/>
    <xf numFmtId="164" fontId="1" fillId="0" borderId="0" xfId="0" applyNumberFormat="1" applyFont="1"/>
    <xf numFmtId="2" fontId="1" fillId="0" borderId="0" xfId="0" applyNumberFormat="1" applyFont="1"/>
  </cellXfs>
  <cellStyles count="1">
    <cellStyle name="Normal" xfId="0" builtinId="0"/>
  </cellStyles>
  <dxfs count="958">
    <dxf>
      <numFmt numFmtId="164" formatCode="_-[$$-409]* #,##0.0_ ;_-[$$-409]* \-#,##0.0\ ;_-[$$-409]* &quot;-&quot;??_ ;_-@_ "/>
    </dxf>
    <dxf>
      <font>
        <sz val="12"/>
      </font>
    </dxf>
    <dxf>
      <numFmt numFmtId="13" formatCode="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3" formatCode="0%"/>
    </dxf>
    <dxf>
      <numFmt numFmtId="2" formatCode="0.00"/>
    </dxf>
    <dxf>
      <numFmt numFmtId="2" formatCode="0.00"/>
    </dxf>
    <dxf>
      <font>
        <sz val="12"/>
      </font>
    </dxf>
    <dxf>
      <numFmt numFmtId="164" formatCode="_-[$$-409]* #,##0.0_ ;_-[$$-409]* \-#,##0.0\ ;_-[$$-409]* &quot;-&quot;??_ ;_-@_ "/>
    </dxf>
    <dxf>
      <font>
        <sz val="12"/>
      </font>
    </dxf>
    <dxf>
      <numFmt numFmtId="164" formatCode="_-[$$-409]* #,##0.0_ ;_-[$$-409]* \-#,##0.0\ ;_-[$$-409]* &quot;-&quot;??_ ;_-@_ "/>
    </dxf>
    <dxf>
      <numFmt numFmtId="164" formatCode="_-[$$-409]* #,##0.0_ ;_-[$$-409]* \-#,##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4" formatCode="0.00%"/>
    </dxf>
    <dxf>
      <numFmt numFmtId="166" formatCode="0.0%"/>
    </dxf>
    <dxf>
      <numFmt numFmtId="165" formatCode="0.0"/>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font>
        <sz val="12"/>
      </font>
    </dxf>
    <dxf>
      <numFmt numFmtId="13" formatCode="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3" formatCode="0%"/>
    </dxf>
    <dxf>
      <numFmt numFmtId="2" formatCode="0.00"/>
    </dxf>
    <dxf>
      <numFmt numFmtId="2" formatCode="0.00"/>
    </dxf>
    <dxf>
      <font>
        <sz val="12"/>
      </font>
    </dxf>
    <dxf>
      <numFmt numFmtId="164" formatCode="_-[$$-409]* #,##0.0_ ;_-[$$-409]* \-#,##0.0\ ;_-[$$-409]* &quot;-&quot;??_ ;_-@_ "/>
    </dxf>
    <dxf>
      <font>
        <sz val="12"/>
      </font>
    </dxf>
    <dxf>
      <numFmt numFmtId="164" formatCode="_-[$$-409]* #,##0.0_ ;_-[$$-409]* \-#,##0.0\ ;_-[$$-409]* &quot;-&quot;??_ ;_-@_ "/>
    </dxf>
    <dxf>
      <numFmt numFmtId="164" formatCode="_-[$$-409]* #,##0.0_ ;_-[$$-409]* \-#,##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4" formatCode="0.00%"/>
    </dxf>
    <dxf>
      <numFmt numFmtId="166" formatCode="0.0%"/>
    </dxf>
    <dxf>
      <numFmt numFmtId="165" formatCode="0.0"/>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font>
        <sz val="12"/>
      </font>
    </dxf>
    <dxf>
      <numFmt numFmtId="13" formatCode="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3" formatCode="0%"/>
    </dxf>
    <dxf>
      <numFmt numFmtId="2" formatCode="0.00"/>
    </dxf>
    <dxf>
      <numFmt numFmtId="2" formatCode="0.00"/>
    </dxf>
    <dxf>
      <font>
        <sz val="12"/>
      </font>
    </dxf>
    <dxf>
      <numFmt numFmtId="164" formatCode="_-[$$-409]* #,##0.0_ ;_-[$$-409]* \-#,##0.0\ ;_-[$$-409]* &quot;-&quot;??_ ;_-@_ "/>
    </dxf>
    <dxf>
      <font>
        <sz val="12"/>
      </font>
    </dxf>
    <dxf>
      <numFmt numFmtId="164" formatCode="_-[$$-409]* #,##0.0_ ;_-[$$-409]* \-#,##0.0\ ;_-[$$-409]* &quot;-&quot;??_ ;_-@_ "/>
    </dxf>
    <dxf>
      <numFmt numFmtId="164" formatCode="_-[$$-409]* #,##0.0_ ;_-[$$-409]* \-#,##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4" formatCode="0.00%"/>
    </dxf>
    <dxf>
      <numFmt numFmtId="166" formatCode="0.0%"/>
    </dxf>
    <dxf>
      <numFmt numFmtId="165" formatCode="0.0"/>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font>
        <sz val="12"/>
      </font>
    </dxf>
    <dxf>
      <numFmt numFmtId="13" formatCode="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3" formatCode="0%"/>
    </dxf>
    <dxf>
      <numFmt numFmtId="2" formatCode="0.00"/>
    </dxf>
    <dxf>
      <numFmt numFmtId="2" formatCode="0.00"/>
    </dxf>
    <dxf>
      <font>
        <sz val="12"/>
      </font>
    </dxf>
    <dxf>
      <numFmt numFmtId="164" formatCode="_-[$$-409]* #,##0.0_ ;_-[$$-409]* \-#,##0.0\ ;_-[$$-409]* &quot;-&quot;??_ ;_-@_ "/>
    </dxf>
    <dxf>
      <font>
        <sz val="12"/>
      </font>
    </dxf>
    <dxf>
      <numFmt numFmtId="164" formatCode="_-[$$-409]* #,##0.0_ ;_-[$$-409]* \-#,##0.0\ ;_-[$$-409]* &quot;-&quot;??_ ;_-@_ "/>
    </dxf>
    <dxf>
      <numFmt numFmtId="164" formatCode="_-[$$-409]* #,##0.0_ ;_-[$$-409]* \-#,##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4" formatCode="0.00%"/>
    </dxf>
    <dxf>
      <numFmt numFmtId="166" formatCode="0.0%"/>
    </dxf>
    <dxf>
      <numFmt numFmtId="165" formatCode="0.0"/>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font>
        <sz val="12"/>
      </font>
    </dxf>
    <dxf>
      <numFmt numFmtId="13" formatCode="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3" formatCode="0%"/>
    </dxf>
    <dxf>
      <numFmt numFmtId="2" formatCode="0.00"/>
    </dxf>
    <dxf>
      <numFmt numFmtId="2" formatCode="0.00"/>
    </dxf>
    <dxf>
      <font>
        <sz val="12"/>
      </font>
    </dxf>
    <dxf>
      <numFmt numFmtId="164" formatCode="_-[$$-409]* #,##0.0_ ;_-[$$-409]* \-#,##0.0\ ;_-[$$-409]* &quot;-&quot;??_ ;_-@_ "/>
    </dxf>
    <dxf>
      <font>
        <sz val="12"/>
      </font>
    </dxf>
    <dxf>
      <numFmt numFmtId="164" formatCode="_-[$$-409]* #,##0.0_ ;_-[$$-409]* \-#,##0.0\ ;_-[$$-409]* &quot;-&quot;??_ ;_-@_ "/>
    </dxf>
    <dxf>
      <numFmt numFmtId="164" formatCode="_-[$$-409]* #,##0.0_ ;_-[$$-409]* \-#,##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4" formatCode="0.00%"/>
    </dxf>
    <dxf>
      <numFmt numFmtId="166" formatCode="0.0%"/>
    </dxf>
    <dxf>
      <numFmt numFmtId="165" formatCode="0.0"/>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font>
        <sz val="12"/>
      </font>
    </dxf>
    <dxf>
      <numFmt numFmtId="13" formatCode="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3" formatCode="0%"/>
    </dxf>
    <dxf>
      <numFmt numFmtId="2" formatCode="0.00"/>
    </dxf>
    <dxf>
      <numFmt numFmtId="2" formatCode="0.00"/>
    </dxf>
    <dxf>
      <font>
        <sz val="12"/>
      </font>
    </dxf>
    <dxf>
      <numFmt numFmtId="164" formatCode="_-[$$-409]* #,##0.0_ ;_-[$$-409]* \-#,##0.0\ ;_-[$$-409]* &quot;-&quot;??_ ;_-@_ "/>
    </dxf>
    <dxf>
      <font>
        <sz val="12"/>
      </font>
    </dxf>
    <dxf>
      <numFmt numFmtId="164" formatCode="_-[$$-409]* #,##0.0_ ;_-[$$-409]* \-#,##0.0\ ;_-[$$-409]* &quot;-&quot;??_ ;_-@_ "/>
    </dxf>
    <dxf>
      <numFmt numFmtId="164" formatCode="_-[$$-409]* #,##0.0_ ;_-[$$-409]* \-#,##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4" formatCode="0.00%"/>
    </dxf>
    <dxf>
      <numFmt numFmtId="166" formatCode="0.0%"/>
    </dxf>
    <dxf>
      <numFmt numFmtId="165" formatCode="0.0"/>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font>
        <sz val="12"/>
      </font>
    </dxf>
    <dxf>
      <numFmt numFmtId="13" formatCode="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3" formatCode="0%"/>
    </dxf>
    <dxf>
      <numFmt numFmtId="2" formatCode="0.00"/>
    </dxf>
    <dxf>
      <numFmt numFmtId="2" formatCode="0.00"/>
    </dxf>
    <dxf>
      <font>
        <sz val="12"/>
      </font>
    </dxf>
    <dxf>
      <numFmt numFmtId="164" formatCode="_-[$$-409]* #,##0.0_ ;_-[$$-409]* \-#,##0.0\ ;_-[$$-409]* &quot;-&quot;??_ ;_-@_ "/>
    </dxf>
    <dxf>
      <font>
        <sz val="12"/>
      </font>
    </dxf>
    <dxf>
      <numFmt numFmtId="164" formatCode="_-[$$-409]* #,##0.0_ ;_-[$$-409]* \-#,##0.0\ ;_-[$$-409]* &quot;-&quot;??_ ;_-@_ "/>
    </dxf>
    <dxf>
      <numFmt numFmtId="164" formatCode="_-[$$-409]* #,##0.0_ ;_-[$$-409]* \-#,##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4" formatCode="0.00%"/>
    </dxf>
    <dxf>
      <numFmt numFmtId="166" formatCode="0.0%"/>
    </dxf>
    <dxf>
      <numFmt numFmtId="165" formatCode="0.0"/>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font>
        <sz val="12"/>
      </font>
    </dxf>
    <dxf>
      <numFmt numFmtId="13" formatCode="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3" formatCode="0%"/>
    </dxf>
    <dxf>
      <numFmt numFmtId="2" formatCode="0.00"/>
    </dxf>
    <dxf>
      <numFmt numFmtId="2" formatCode="0.00"/>
    </dxf>
    <dxf>
      <font>
        <sz val="12"/>
      </font>
    </dxf>
    <dxf>
      <numFmt numFmtId="164" formatCode="_-[$$-409]* #,##0.0_ ;_-[$$-409]* \-#,##0.0\ ;_-[$$-409]* &quot;-&quot;??_ ;_-@_ "/>
    </dxf>
    <dxf>
      <font>
        <sz val="12"/>
      </font>
    </dxf>
    <dxf>
      <numFmt numFmtId="164" formatCode="_-[$$-409]* #,##0.0_ ;_-[$$-409]* \-#,##0.0\ ;_-[$$-409]* &quot;-&quot;??_ ;_-@_ "/>
    </dxf>
    <dxf>
      <numFmt numFmtId="164" formatCode="_-[$$-409]* #,##0.0_ ;_-[$$-409]* \-#,##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4" formatCode="0.00%"/>
    </dxf>
    <dxf>
      <numFmt numFmtId="166" formatCode="0.0%"/>
    </dxf>
    <dxf>
      <numFmt numFmtId="165" formatCode="0.0"/>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font>
        <sz val="12"/>
      </font>
    </dxf>
    <dxf>
      <numFmt numFmtId="13" formatCode="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3" formatCode="0%"/>
    </dxf>
    <dxf>
      <numFmt numFmtId="2" formatCode="0.00"/>
    </dxf>
    <dxf>
      <numFmt numFmtId="2" formatCode="0.00"/>
    </dxf>
    <dxf>
      <font>
        <sz val="12"/>
      </font>
    </dxf>
    <dxf>
      <numFmt numFmtId="164" formatCode="_-[$$-409]* #,##0.0_ ;_-[$$-409]* \-#,##0.0\ ;_-[$$-409]* &quot;-&quot;??_ ;_-@_ "/>
    </dxf>
    <dxf>
      <font>
        <sz val="12"/>
      </font>
    </dxf>
    <dxf>
      <numFmt numFmtId="164" formatCode="_-[$$-409]* #,##0.0_ ;_-[$$-409]* \-#,##0.0\ ;_-[$$-409]* &quot;-&quot;??_ ;_-@_ "/>
    </dxf>
    <dxf>
      <numFmt numFmtId="164" formatCode="_-[$$-409]* #,##0.0_ ;_-[$$-409]* \-#,##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4" formatCode="0.00%"/>
    </dxf>
    <dxf>
      <numFmt numFmtId="166" formatCode="0.0%"/>
    </dxf>
    <dxf>
      <numFmt numFmtId="165" formatCode="0.0"/>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font>
        <sz val="12"/>
      </font>
    </dxf>
    <dxf>
      <numFmt numFmtId="13" formatCode="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3" formatCode="0%"/>
    </dxf>
    <dxf>
      <numFmt numFmtId="2" formatCode="0.00"/>
    </dxf>
    <dxf>
      <numFmt numFmtId="2" formatCode="0.00"/>
    </dxf>
    <dxf>
      <font>
        <sz val="12"/>
      </font>
    </dxf>
    <dxf>
      <numFmt numFmtId="164" formatCode="_-[$$-409]* #,##0.0_ ;_-[$$-409]* \-#,##0.0\ ;_-[$$-409]* &quot;-&quot;??_ ;_-@_ "/>
    </dxf>
    <dxf>
      <font>
        <sz val="12"/>
      </font>
    </dxf>
    <dxf>
      <numFmt numFmtId="164" formatCode="_-[$$-409]* #,##0.0_ ;_-[$$-409]* \-#,##0.0\ ;_-[$$-409]* &quot;-&quot;??_ ;_-@_ "/>
    </dxf>
    <dxf>
      <numFmt numFmtId="164" formatCode="_-[$$-409]* #,##0.0_ ;_-[$$-409]* \-#,##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4" formatCode="0.00%"/>
    </dxf>
    <dxf>
      <numFmt numFmtId="166" formatCode="0.0%"/>
    </dxf>
    <dxf>
      <numFmt numFmtId="165" formatCode="0.0"/>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font>
        <sz val="12"/>
      </font>
    </dxf>
    <dxf>
      <numFmt numFmtId="13" formatCode="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3" formatCode="0%"/>
    </dxf>
    <dxf>
      <numFmt numFmtId="2" formatCode="0.00"/>
    </dxf>
    <dxf>
      <numFmt numFmtId="2" formatCode="0.00"/>
    </dxf>
    <dxf>
      <font>
        <sz val="12"/>
      </font>
    </dxf>
    <dxf>
      <numFmt numFmtId="164" formatCode="_-[$$-409]* #,##0.0_ ;_-[$$-409]* \-#,##0.0\ ;_-[$$-409]* &quot;-&quot;??_ ;_-@_ "/>
    </dxf>
    <dxf>
      <font>
        <sz val="12"/>
      </font>
    </dxf>
    <dxf>
      <numFmt numFmtId="164" formatCode="_-[$$-409]* #,##0.0_ ;_-[$$-409]* \-#,##0.0\ ;_-[$$-409]* &quot;-&quot;??_ ;_-@_ "/>
    </dxf>
    <dxf>
      <numFmt numFmtId="164" formatCode="_-[$$-409]* #,##0.0_ ;_-[$$-409]* \-#,##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4" formatCode="0.00%"/>
    </dxf>
    <dxf>
      <numFmt numFmtId="166" formatCode="0.0%"/>
    </dxf>
    <dxf>
      <numFmt numFmtId="165" formatCode="0.0"/>
    </dxf>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font>
        <sz val="12"/>
      </font>
    </dxf>
    <dxf>
      <numFmt numFmtId="13" formatCode="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3" formatCode="0%"/>
    </dxf>
    <dxf>
      <numFmt numFmtId="2" formatCode="0.00"/>
    </dxf>
    <dxf>
      <numFmt numFmtId="2" formatCode="0.00"/>
    </dxf>
    <dxf>
      <font>
        <sz val="12"/>
      </font>
    </dxf>
    <dxf>
      <numFmt numFmtId="164" formatCode="_-[$$-409]* #,##0.0_ ;_-[$$-409]* \-#,##0.0\ ;_-[$$-409]* &quot;-&quot;??_ ;_-@_ "/>
    </dxf>
    <dxf>
      <font>
        <sz val="12"/>
      </font>
    </dxf>
    <dxf>
      <numFmt numFmtId="164" formatCode="_-[$$-409]* #,##0.0_ ;_-[$$-409]* \-#,##0.0\ ;_-[$$-409]* &quot;-&quot;??_ ;_-@_ "/>
    </dxf>
    <dxf>
      <numFmt numFmtId="164" formatCode="_-[$$-409]* #,##0.0_ ;_-[$$-409]* \-#,##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4" formatCode="0.00%"/>
    </dxf>
    <dxf>
      <numFmt numFmtId="166" formatCode="0.0%"/>
    </dxf>
    <dxf>
      <numFmt numFmtId="165" formatCode="0.0"/>
    </dxf>
    <dxf>
      <numFmt numFmtId="164" formatCode="_-[$$-409]* #,##0.0_ ;_-[$$-409]* \-#,##0.0\ ;_-[$$-409]* &quot;-&quot;??_ ;_-@_ "/>
    </dxf>
    <dxf>
      <numFmt numFmtId="164" formatCode="_-[$$-409]* #,##0.0_ ;_-[$$-409]* \-#,##0.0\ ;_-[$$-409]* &quot;-&quot;??_ ;_-@_ "/>
    </dxf>
    <dxf>
      <numFmt numFmtId="164" formatCode="_-[$$-409]* #,##0.0_ ;_-[$$-409]* \-#,##0.0\ ;_-[$$-409]* &quot;-&quot;??_ ;_-@_ "/>
    </dxf>
    <dxf>
      <numFmt numFmtId="13" formatCode="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3" formatCode="0%"/>
    </dxf>
    <dxf>
      <numFmt numFmtId="2" formatCode="0.00"/>
    </dxf>
    <dxf>
      <numFmt numFmtId="2" formatCode="0.00"/>
    </dxf>
    <dxf>
      <font>
        <sz val="12"/>
      </font>
    </dxf>
    <dxf>
      <numFmt numFmtId="164" formatCode="_-[$$-409]* #,##0.0_ ;_-[$$-409]* \-#,##0.0\ ;_-[$$-409]* &quot;-&quot;??_ ;_-@_ "/>
    </dxf>
    <dxf>
      <font>
        <sz val="12"/>
      </font>
    </dxf>
    <dxf>
      <numFmt numFmtId="164" formatCode="_-[$$-409]* #,##0.0_ ;_-[$$-409]* \-#,##0.0\ ;_-[$$-409]* &quot;-&quot;??_ ;_-@_ "/>
    </dxf>
    <dxf>
      <numFmt numFmtId="164" formatCode="_-[$$-409]* #,##0.0_ ;_-[$$-409]* \-#,##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4" formatCode="0.00%"/>
    </dxf>
    <dxf>
      <numFmt numFmtId="166" formatCode="0.0%"/>
    </dxf>
    <dxf>
      <numFmt numFmtId="165" formatCode="0.0"/>
    </dxf>
    <dxf>
      <numFmt numFmtId="164" formatCode="_-[$$-409]* #,##0.0_ ;_-[$$-409]* \-#,##0.0\ ;_-[$$-409]* &quot;-&quot;??_ ;_-@_ "/>
    </dxf>
    <dxf>
      <numFmt numFmtId="164" formatCode="_-[$$-409]* #,##0.0_ ;_-[$$-409]* \-#,##0.0\ ;_-[$$-409]* &quot;-&quot;??_ ;_-@_ "/>
    </dxf>
    <dxf>
      <numFmt numFmtId="164" formatCode="_-[$$-409]* #,##0.0_ ;_-[$$-409]* \-#,##0.0\ ;_-[$$-409]* &quot;-&quot;??_ ;_-@_ "/>
    </dxf>
    <dxf>
      <numFmt numFmtId="13" formatCode="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3" formatCode="0%"/>
    </dxf>
    <dxf>
      <numFmt numFmtId="2" formatCode="0.00"/>
    </dxf>
    <dxf>
      <numFmt numFmtId="2" formatCode="0.00"/>
    </dxf>
    <dxf>
      <font>
        <sz val="12"/>
      </font>
    </dxf>
    <dxf>
      <numFmt numFmtId="164" formatCode="_-[$$-409]* #,##0.0_ ;_-[$$-409]* \-#,##0.0\ ;_-[$$-409]* &quot;-&quot;??_ ;_-@_ "/>
    </dxf>
    <dxf>
      <font>
        <sz val="12"/>
      </font>
    </dxf>
    <dxf>
      <numFmt numFmtId="164" formatCode="_-[$$-409]* #,##0.0_ ;_-[$$-409]* \-#,##0.0\ ;_-[$$-409]* &quot;-&quot;??_ ;_-@_ "/>
    </dxf>
    <dxf>
      <numFmt numFmtId="164" formatCode="_-[$$-409]* #,##0.0_ ;_-[$$-409]* \-#,##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4" formatCode="0.00%"/>
    </dxf>
    <dxf>
      <numFmt numFmtId="166" formatCode="0.0%"/>
    </dxf>
    <dxf>
      <numFmt numFmtId="165" formatCode="0.0"/>
    </dxf>
    <dxf>
      <numFmt numFmtId="164" formatCode="_-[$$-409]* #,##0.0_ ;_-[$$-409]* \-#,##0.0\ ;_-[$$-409]* &quot;-&quot;??_ ;_-@_ "/>
    </dxf>
    <dxf>
      <numFmt numFmtId="164" formatCode="_-[$$-409]* #,##0.0_ ;_-[$$-409]* \-#,##0.0\ ;_-[$$-409]* &quot;-&quot;??_ ;_-@_ "/>
    </dxf>
    <dxf>
      <numFmt numFmtId="164" formatCode="_-[$$-409]* #,##0.0_ ;_-[$$-409]* \-#,##0.0\ ;_-[$$-409]* &quot;-&quot;??_ ;_-@_ "/>
    </dxf>
    <dxf>
      <numFmt numFmtId="13" formatCode="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3" formatCode="0%"/>
    </dxf>
    <dxf>
      <numFmt numFmtId="2" formatCode="0.00"/>
    </dxf>
    <dxf>
      <numFmt numFmtId="2" formatCode="0.00"/>
    </dxf>
    <dxf>
      <font>
        <sz val="12"/>
      </font>
    </dxf>
    <dxf>
      <numFmt numFmtId="164" formatCode="_-[$$-409]* #,##0.0_ ;_-[$$-409]* \-#,##0.0\ ;_-[$$-409]* &quot;-&quot;??_ ;_-@_ "/>
    </dxf>
    <dxf>
      <font>
        <sz val="12"/>
      </font>
    </dxf>
    <dxf>
      <numFmt numFmtId="164" formatCode="_-[$$-409]* #,##0.0_ ;_-[$$-409]* \-#,##0.0\ ;_-[$$-409]* &quot;-&quot;??_ ;_-@_ "/>
    </dxf>
    <dxf>
      <numFmt numFmtId="164" formatCode="_-[$$-409]* #,##0.0_ ;_-[$$-409]* \-#,##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4" formatCode="0.00%"/>
    </dxf>
    <dxf>
      <numFmt numFmtId="166" formatCode="0.0%"/>
    </dxf>
    <dxf>
      <numFmt numFmtId="165" formatCode="0.0"/>
    </dxf>
    <dxf>
      <numFmt numFmtId="164" formatCode="_-[$$-409]* #,##0.0_ ;_-[$$-409]* \-#,##0.0\ ;_-[$$-409]* &quot;-&quot;??_ ;_-@_ "/>
    </dxf>
    <dxf>
      <numFmt numFmtId="164" formatCode="_-[$$-409]* #,##0.0_ ;_-[$$-409]* \-#,##0.0\ ;_-[$$-409]* &quot;-&quot;??_ ;_-@_ "/>
    </dxf>
    <dxf>
      <numFmt numFmtId="164" formatCode="_-[$$-409]* #,##0.0_ ;_-[$$-409]* \-#,##0.0\ ;_-[$$-409]* &quot;-&quot;??_ ;_-@_ "/>
    </dxf>
    <dxf>
      <numFmt numFmtId="13" formatCode="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3" formatCode="0%"/>
    </dxf>
    <dxf>
      <numFmt numFmtId="2" formatCode="0.00"/>
    </dxf>
    <dxf>
      <numFmt numFmtId="2" formatCode="0.00"/>
    </dxf>
    <dxf>
      <font>
        <sz val="12"/>
      </font>
    </dxf>
    <dxf>
      <numFmt numFmtId="164" formatCode="_-[$$-409]* #,##0.0_ ;_-[$$-409]* \-#,##0.0\ ;_-[$$-409]* &quot;-&quot;??_ ;_-@_ "/>
    </dxf>
    <dxf>
      <font>
        <sz val="12"/>
      </font>
    </dxf>
    <dxf>
      <numFmt numFmtId="164" formatCode="_-[$$-409]* #,##0.0_ ;_-[$$-409]* \-#,##0.0\ ;_-[$$-409]* &quot;-&quot;??_ ;_-@_ "/>
    </dxf>
    <dxf>
      <numFmt numFmtId="164" formatCode="_-[$$-409]* #,##0.0_ ;_-[$$-409]* \-#,##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4" formatCode="0.00%"/>
    </dxf>
    <dxf>
      <numFmt numFmtId="166" formatCode="0.0%"/>
    </dxf>
    <dxf>
      <numFmt numFmtId="165" formatCode="0.0"/>
    </dxf>
    <dxf>
      <numFmt numFmtId="164" formatCode="_-[$$-409]* #,##0.0_ ;_-[$$-409]* \-#,##0.0\ ;_-[$$-409]* &quot;-&quot;??_ ;_-@_ "/>
    </dxf>
    <dxf>
      <numFmt numFmtId="164" formatCode="_-[$$-409]* #,##0.0_ ;_-[$$-409]* \-#,##0.0\ ;_-[$$-409]* &quot;-&quot;??_ ;_-@_ "/>
    </dxf>
    <dxf>
      <numFmt numFmtId="164" formatCode="_-[$$-409]* #,##0.0_ ;_-[$$-409]* \-#,##0.0\ ;_-[$$-409]* &quot;-&quot;??_ ;_-@_ "/>
    </dxf>
    <dxf>
      <numFmt numFmtId="13" formatCode="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3" formatCode="0%"/>
    </dxf>
    <dxf>
      <numFmt numFmtId="2" formatCode="0.00"/>
    </dxf>
    <dxf>
      <numFmt numFmtId="2" formatCode="0.00"/>
    </dxf>
    <dxf>
      <font>
        <sz val="12"/>
      </font>
    </dxf>
    <dxf>
      <numFmt numFmtId="164" formatCode="_-[$$-409]* #,##0.0_ ;_-[$$-409]* \-#,##0.0\ ;_-[$$-409]* &quot;-&quot;??_ ;_-@_ "/>
    </dxf>
    <dxf>
      <font>
        <sz val="12"/>
      </font>
    </dxf>
    <dxf>
      <numFmt numFmtId="164" formatCode="_-[$$-409]* #,##0.0_ ;_-[$$-409]* \-#,##0.0\ ;_-[$$-409]* &quot;-&quot;??_ ;_-@_ "/>
    </dxf>
    <dxf>
      <numFmt numFmtId="164" formatCode="_-[$$-409]* #,##0.0_ ;_-[$$-409]* \-#,##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4" formatCode="0.00%"/>
    </dxf>
    <dxf>
      <numFmt numFmtId="166" formatCode="0.0%"/>
    </dxf>
    <dxf>
      <numFmt numFmtId="165" formatCode="0.0"/>
    </dxf>
    <dxf>
      <numFmt numFmtId="164" formatCode="_-[$$-409]* #,##0.0_ ;_-[$$-409]* \-#,##0.0\ ;_-[$$-409]* &quot;-&quot;??_ ;_-@_ "/>
    </dxf>
    <dxf>
      <numFmt numFmtId="164" formatCode="_-[$$-409]* #,##0.0_ ;_-[$$-409]* \-#,##0.0\ ;_-[$$-409]* &quot;-&quot;??_ ;_-@_ "/>
    </dxf>
    <dxf>
      <numFmt numFmtId="164" formatCode="_-[$$-409]* #,##0.0_ ;_-[$$-409]* \-#,##0.0\ ;_-[$$-409]* &quot;-&quot;??_ ;_-@_ "/>
    </dxf>
    <dxf>
      <numFmt numFmtId="13" formatCode="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3" formatCode="0%"/>
    </dxf>
    <dxf>
      <numFmt numFmtId="2" formatCode="0.00"/>
    </dxf>
    <dxf>
      <numFmt numFmtId="2" formatCode="0.00"/>
    </dxf>
    <dxf>
      <font>
        <sz val="12"/>
      </font>
    </dxf>
    <dxf>
      <numFmt numFmtId="164" formatCode="_-[$$-409]* #,##0.0_ ;_-[$$-409]* \-#,##0.0\ ;_-[$$-409]* &quot;-&quot;??_ ;_-@_ "/>
    </dxf>
    <dxf>
      <font>
        <sz val="12"/>
      </font>
    </dxf>
    <dxf>
      <numFmt numFmtId="164" formatCode="_-[$$-409]* #,##0.0_ ;_-[$$-409]* \-#,##0.0\ ;_-[$$-409]* &quot;-&quot;??_ ;_-@_ "/>
    </dxf>
    <dxf>
      <numFmt numFmtId="164" formatCode="_-[$$-409]* #,##0.0_ ;_-[$$-409]* \-#,##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4" formatCode="0.00%"/>
    </dxf>
    <dxf>
      <numFmt numFmtId="166" formatCode="0.0%"/>
    </dxf>
    <dxf>
      <numFmt numFmtId="165" formatCode="0.0"/>
    </dxf>
    <dxf>
      <numFmt numFmtId="164" formatCode="_-[$$-409]* #,##0.0_ ;_-[$$-409]* \-#,##0.0\ ;_-[$$-409]* &quot;-&quot;??_ ;_-@_ "/>
    </dxf>
    <dxf>
      <numFmt numFmtId="164" formatCode="_-[$$-409]* #,##0.0_ ;_-[$$-409]* \-#,##0.0\ ;_-[$$-409]* &quot;-&quot;??_ ;_-@_ "/>
    </dxf>
    <dxf>
      <numFmt numFmtId="164" formatCode="_-[$$-409]* #,##0.0_ ;_-[$$-409]* \-#,##0.0\ ;_-[$$-409]* &quot;-&quot;??_ ;_-@_ "/>
    </dxf>
    <dxf>
      <numFmt numFmtId="13" formatCode="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3" formatCode="0%"/>
    </dxf>
    <dxf>
      <numFmt numFmtId="2" formatCode="0.00"/>
    </dxf>
    <dxf>
      <numFmt numFmtId="2" formatCode="0.00"/>
    </dxf>
    <dxf>
      <font>
        <sz val="12"/>
      </font>
    </dxf>
    <dxf>
      <numFmt numFmtId="164" formatCode="_-[$$-409]* #,##0.0_ ;_-[$$-409]* \-#,##0.0\ ;_-[$$-409]* &quot;-&quot;??_ ;_-@_ "/>
    </dxf>
    <dxf>
      <font>
        <sz val="12"/>
      </font>
    </dxf>
    <dxf>
      <numFmt numFmtId="164" formatCode="_-[$$-409]* #,##0.0_ ;_-[$$-409]* \-#,##0.0\ ;_-[$$-409]* &quot;-&quot;??_ ;_-@_ "/>
    </dxf>
    <dxf>
      <numFmt numFmtId="164" formatCode="_-[$$-409]* #,##0.0_ ;_-[$$-409]* \-#,##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4" formatCode="0.00%"/>
    </dxf>
    <dxf>
      <numFmt numFmtId="166" formatCode="0.0%"/>
    </dxf>
    <dxf>
      <numFmt numFmtId="165" formatCode="0.0"/>
    </dxf>
    <dxf>
      <numFmt numFmtId="164" formatCode="_-[$$-409]* #,##0.0_ ;_-[$$-409]* \-#,##0.0\ ;_-[$$-409]* &quot;-&quot;??_ ;_-@_ "/>
    </dxf>
    <dxf>
      <numFmt numFmtId="164" formatCode="_-[$$-409]* #,##0.0_ ;_-[$$-409]* \-#,##0.0\ ;_-[$$-409]* &quot;-&quot;??_ ;_-@_ "/>
    </dxf>
    <dxf>
      <numFmt numFmtId="164" formatCode="_-[$$-409]* #,##0.0_ ;_-[$$-409]* \-#,##0.0\ ;_-[$$-409]* &quot;-&quot;??_ ;_-@_ "/>
    </dxf>
    <dxf>
      <numFmt numFmtId="13" formatCode="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3" formatCode="0%"/>
    </dxf>
    <dxf>
      <numFmt numFmtId="2" formatCode="0.00"/>
    </dxf>
    <dxf>
      <numFmt numFmtId="2" formatCode="0.00"/>
    </dxf>
    <dxf>
      <font>
        <sz val="12"/>
      </font>
    </dxf>
    <dxf>
      <numFmt numFmtId="164" formatCode="_-[$$-409]* #,##0.0_ ;_-[$$-409]* \-#,##0.0\ ;_-[$$-409]* &quot;-&quot;??_ ;_-@_ "/>
    </dxf>
    <dxf>
      <font>
        <sz val="12"/>
      </font>
    </dxf>
    <dxf>
      <numFmt numFmtId="164" formatCode="_-[$$-409]* #,##0.0_ ;_-[$$-409]* \-#,##0.0\ ;_-[$$-409]* &quot;-&quot;??_ ;_-@_ "/>
    </dxf>
    <dxf>
      <numFmt numFmtId="164" formatCode="_-[$$-409]* #,##0.0_ ;_-[$$-409]* \-#,##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4" formatCode="_-[$$-409]* #,##0.0_ ;_-[$$-409]* \-#,##0.0\ ;_-[$$-409]* &quot;-&quot;??_ ;_-@_ "/>
    </dxf>
    <dxf>
      <numFmt numFmtId="14" formatCode="0.00%"/>
    </dxf>
    <dxf>
      <numFmt numFmtId="166" formatCode="0.0%"/>
    </dxf>
    <dxf>
      <numFmt numFmtId="165" formatCode="0.0"/>
    </dxf>
    <dxf>
      <numFmt numFmtId="164" formatCode="_-[$$-409]* #,##0.0_ ;_-[$$-409]* \-#,##0.0\ ;_-[$$-409]* &quot;-&quot;??_ ;_-@_ "/>
    </dxf>
    <dxf>
      <numFmt numFmtId="164" formatCode="_-[$$-409]* #,##0.0_ ;_-[$$-409]* \-#,##0.0\ ;_-[$$-409]* &quot;-&quot;??_ ;_-@_ "/>
    </dxf>
    <dxf>
      <numFmt numFmtId="164" formatCode="_-[$$-409]* #,##0.0_ ;_-[$$-409]* \-#,##0.0\ ;_-[$$-409]* &quot;-&quot;??_ ;_-@_ "/>
    </dxf>
    <dxf>
      <numFmt numFmtId="13" formatCode="0%"/>
    </dxf>
    <dxf>
      <numFmt numFmtId="13" formatCode="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2" formatCode="0.00"/>
    </dxf>
    <dxf>
      <font>
        <sz val="12"/>
      </font>
    </dxf>
    <dxf>
      <font>
        <sz val="12"/>
      </font>
    </dxf>
    <dxf>
      <numFmt numFmtId="164" formatCode="_-[$$-409]* #,##0.0_ ;_-[$$-409]* \-#,##0.0\ ;_-[$$-409]* &quot;-&quot;??_ ;_-@_ "/>
    </dxf>
    <dxf>
      <font>
        <b/>
        <i val="0"/>
      </font>
      <fill>
        <patternFill patternType="none">
          <bgColor auto="1"/>
        </patternFill>
      </fill>
    </dxf>
    <dxf>
      <font>
        <color theme="0"/>
      </font>
      <fill>
        <patternFill patternType="solid">
          <bgColor theme="8" tint="-0.499984740745262"/>
        </patternFill>
      </fill>
      <border diagonalUp="0" diagonalDown="0">
        <left/>
        <right/>
        <top/>
        <bottom/>
        <vertical/>
        <horizontal/>
      </border>
    </dxf>
    <dxf>
      <numFmt numFmtId="2" formatCode="0.00"/>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7" formatCode="_-[$$-409]* #,##0.000_ ;_-[$$-409]* \-#,##0.000\ ;_-[$$-409]* &quot;-&quot;??_ ;_-@_ "/>
    </dxf>
    <dxf>
      <numFmt numFmtId="166" formatCode="0.0%"/>
    </dxf>
    <dxf>
      <numFmt numFmtId="14" formatCode="0.00%"/>
    </dxf>
    <dxf>
      <numFmt numFmtId="164" formatCode="_-[$$-409]* #,##0.0_ ;_-[$$-409]* \-#,##0.0\ ;_-[$$-409]* &quot;-&quot;??_ ;_-@_ "/>
    </dxf>
    <dxf>
      <numFmt numFmtId="2" formatCode="0.00"/>
    </dxf>
    <dxf>
      <numFmt numFmtId="165" formatCode="0.0"/>
    </dxf>
    <dxf>
      <numFmt numFmtId="164" formatCode="_-[$$-409]* #,##0.0_ ;_-[$$-409]* \-#,##0.0\ ;_-[$$-409]* &quot;-&quot;??_ ;_-@_ "/>
    </dxf>
    <dxf>
      <numFmt numFmtId="164" formatCode="_-[$$-409]* #,##0.0_ ;_-[$$-409]* \-#,##0.0\ ;_-[$$-409]* &quot;-&quot;??_ ;_-@_ "/>
    </dxf>
    <dxf>
      <numFmt numFmtId="164" formatCode="_-[$$-409]* #,##0.0_ ;_-[$$-409]* \-#,##0.0\ ;_-[$$-409]* &quot;-&quot;??_ ;_-@_ "/>
    </dxf>
    <dxf>
      <numFmt numFmtId="13" formatCode="0%"/>
    </dxf>
    <dxf>
      <numFmt numFmtId="164" formatCode="_-[$$-409]* #,##0.0_ ;_-[$$-409]* \-#,##0.0\ ;_-[$$-409]* &quot;-&quot;??_ ;_-@_ "/>
    </dxf>
    <dxf>
      <numFmt numFmtId="164" formatCode="_-[$$-409]* #,##0.0_ ;_-[$$-409]* \-#,##0.0\ ;_-[$$-409]* &quot;-&quot;??_ ;_-@_ "/>
    </dxf>
    <dxf>
      <numFmt numFmtId="2" formatCode="0.00"/>
    </dxf>
    <dxf>
      <numFmt numFmtId="164" formatCode="_-[$$-409]* #,##0.0_ ;_-[$$-409]* \-#,##0.0\ ;_-[$$-409]* &quot;-&quot;??_ ;_-@_ "/>
    </dxf>
    <dxf>
      <numFmt numFmtId="4" formatCode="#,##0.00"/>
    </dxf>
    <dxf>
      <numFmt numFmtId="2" formatCode="0.00"/>
    </dxf>
    <dxf>
      <numFmt numFmtId="2" formatCode="0.00"/>
    </dxf>
    <dxf>
      <numFmt numFmtId="19" formatCode="dd/mm/yyyy"/>
    </dxf>
    <dxf>
      <numFmt numFmtId="0" formatCode="General"/>
    </dxf>
    <dxf>
      <numFmt numFmtId="0" formatCode="General"/>
    </dxf>
    <dxf>
      <numFmt numFmtId="19" formatCode="dd/mm/yyyy"/>
    </dxf>
  </dxfs>
  <tableStyles count="1" defaultTableStyle="TableStyleMedium9" defaultPivotStyle="PivotStyleLight16">
    <tableStyle name="Slicer Style 1" pivot="0" table="0" count="9" xr9:uid="{5C94B70D-3D2B-4F51-A575-21325A751C22}">
      <tableStyleElement type="wholeTable" dxfId="924"/>
      <tableStyleElement type="headerRow" dxfId="923"/>
    </tableStyle>
  </tableStyles>
  <colors>
    <mruColors>
      <color rgb="FFFF6B6B"/>
      <color rgb="FFFFC857"/>
      <color rgb="FF3A86FF"/>
      <color rgb="FF985DE5"/>
      <color rgb="FFC75805"/>
      <color rgb="FF000000"/>
    </mruColors>
  </colors>
  <extLst>
    <ext xmlns:x14="http://schemas.microsoft.com/office/spreadsheetml/2009/9/main" uri="{46F421CA-312F-682f-3DD2-61675219B42D}">
      <x14:dxfs count="7">
        <dxf>
          <fill>
            <patternFill>
              <bgColor theme="8" tint="-0.24994659260841701"/>
            </patternFill>
          </fill>
        </dxf>
        <dxf>
          <fill>
            <patternFill>
              <bgColor theme="8" tint="-0.24994659260841701"/>
            </patternFill>
          </fill>
        </dxf>
        <dxf>
          <fill>
            <patternFill>
              <bgColor theme="8" tint="-0.24994659260841701"/>
            </patternFill>
          </fill>
        </dxf>
        <dxf>
          <fill>
            <patternFill>
              <bgColor theme="8" tint="-0.24994659260841701"/>
            </patternFill>
          </fill>
        </dxf>
        <dxf>
          <fill>
            <patternFill>
              <bgColor theme="8" tint="-0.24994659260841701"/>
            </patternFill>
          </fill>
        </dxf>
        <dxf>
          <fill>
            <patternFill>
              <bgColor theme="8" tint="-0.499984740745262"/>
            </patternFill>
          </fill>
        </dxf>
        <dxf>
          <fill>
            <patternFill>
              <bgColor theme="8"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theme" Target="theme/theme1.xml"/><Relationship Id="rId39" Type="http://schemas.openxmlformats.org/officeDocument/2006/relationships/customXml" Target="../customXml/item8.xml"/><Relationship Id="rId21" Type="http://schemas.openxmlformats.org/officeDocument/2006/relationships/pivotCacheDefinition" Target="pivotCache/pivotCacheDefinition16.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2.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openxmlformats.org/officeDocument/2006/relationships/sharedStrings" Target="sharedStrings.xml"/><Relationship Id="rId41" Type="http://schemas.openxmlformats.org/officeDocument/2006/relationships/customXml" Target="../customXml/item10.xml"/><Relationship Id="rId54"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07/relationships/slicerCache" Target="slicerCaches/slicerCache1.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8" Type="http://schemas.openxmlformats.org/officeDocument/2006/relationships/pivotCacheDefinition" Target="pivotCache/pivotCacheDefinition3.xml"/><Relationship Id="rId51" Type="http://schemas.openxmlformats.org/officeDocument/2006/relationships/customXml" Target="../customXml/item20.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Forecast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lineChart>
        <c:grouping val="standard"/>
        <c:varyColors val="0"/>
        <c:ser>
          <c:idx val="0"/>
          <c:order val="0"/>
          <c:tx>
            <c:strRef>
              <c:f>'Forecast Analysis'!$B$1</c:f>
              <c:strCache>
                <c:ptCount val="1"/>
                <c:pt idx="0">
                  <c:v>Revenue</c:v>
                </c:pt>
              </c:strCache>
            </c:strRef>
          </c:tx>
          <c:spPr>
            <a:ln w="28575" cap="rnd">
              <a:solidFill>
                <a:schemeClr val="accent1"/>
              </a:solidFill>
              <a:round/>
            </a:ln>
            <a:effectLst/>
          </c:spPr>
          <c:marker>
            <c:symbol val="none"/>
          </c:marker>
          <c:val>
            <c:numRef>
              <c:f>'Forecast Analysis'!$B$2:$B$85</c:f>
              <c:numCache>
                <c:formatCode>General</c:formatCode>
                <c:ptCount val="84"/>
                <c:pt idx="0">
                  <c:v>145760.5</c:v>
                </c:pt>
                <c:pt idx="1">
                  <c:v>144856.1875</c:v>
                </c:pt>
                <c:pt idx="2">
                  <c:v>151007.375</c:v>
                </c:pt>
                <c:pt idx="3">
                  <c:v>145354.1875</c:v>
                </c:pt>
                <c:pt idx="4">
                  <c:v>148541.875</c:v>
                </c:pt>
                <c:pt idx="5">
                  <c:v>161393.6875</c:v>
                </c:pt>
                <c:pt idx="6">
                  <c:v>144529.9375</c:v>
                </c:pt>
                <c:pt idx="7">
                  <c:v>156329.1875</c:v>
                </c:pt>
                <c:pt idx="8">
                  <c:v>155779.375</c:v>
                </c:pt>
                <c:pt idx="9">
                  <c:v>140108</c:v>
                </c:pt>
                <c:pt idx="10">
                  <c:v>145283.875</c:v>
                </c:pt>
                <c:pt idx="11">
                  <c:v>145638.4375</c:v>
                </c:pt>
                <c:pt idx="12">
                  <c:v>139543.8125</c:v>
                </c:pt>
                <c:pt idx="13">
                  <c:v>146159.0625</c:v>
                </c:pt>
                <c:pt idx="14">
                  <c:v>121933.1875</c:v>
                </c:pt>
                <c:pt idx="15">
                  <c:v>139917</c:v>
                </c:pt>
                <c:pt idx="16">
                  <c:v>142483.8125</c:v>
                </c:pt>
                <c:pt idx="17">
                  <c:v>151618.3125</c:v>
                </c:pt>
                <c:pt idx="18">
                  <c:v>158090.25</c:v>
                </c:pt>
                <c:pt idx="19">
                  <c:v>144944.75</c:v>
                </c:pt>
                <c:pt idx="20">
                  <c:v>145511.6875</c:v>
                </c:pt>
                <c:pt idx="21">
                  <c:v>134347.375</c:v>
                </c:pt>
                <c:pt idx="22">
                  <c:v>144222.5625</c:v>
                </c:pt>
                <c:pt idx="23">
                  <c:v>152590</c:v>
                </c:pt>
                <c:pt idx="24">
                  <c:v>141953.5625</c:v>
                </c:pt>
                <c:pt idx="25">
                  <c:v>135795.5</c:v>
                </c:pt>
                <c:pt idx="26">
                  <c:v>161840.8125</c:v>
                </c:pt>
                <c:pt idx="27">
                  <c:v>156126.8125</c:v>
                </c:pt>
                <c:pt idx="28">
                  <c:v>151692.375</c:v>
                </c:pt>
                <c:pt idx="29">
                  <c:v>144948.4375</c:v>
                </c:pt>
                <c:pt idx="30">
                  <c:v>156093.75</c:v>
                </c:pt>
                <c:pt idx="31">
                  <c:v>152779.3125</c:v>
                </c:pt>
                <c:pt idx="32">
                  <c:v>153072.5625</c:v>
                </c:pt>
                <c:pt idx="33">
                  <c:v>150138.125</c:v>
                </c:pt>
                <c:pt idx="34">
                  <c:v>149644.0625</c:v>
                </c:pt>
                <c:pt idx="35">
                  <c:v>147782.1875</c:v>
                </c:pt>
                <c:pt idx="36">
                  <c:v>146331.375</c:v>
                </c:pt>
                <c:pt idx="37">
                  <c:v>147644</c:v>
                </c:pt>
                <c:pt idx="38">
                  <c:v>133731.875</c:v>
                </c:pt>
                <c:pt idx="39">
                  <c:v>153380.5</c:v>
                </c:pt>
                <c:pt idx="40">
                  <c:v>141036.5625</c:v>
                </c:pt>
                <c:pt idx="41">
                  <c:v>147036.25</c:v>
                </c:pt>
                <c:pt idx="42">
                  <c:v>145631.375</c:v>
                </c:pt>
                <c:pt idx="43">
                  <c:v>160043.25</c:v>
                </c:pt>
                <c:pt idx="44">
                  <c:v>151777.4375</c:v>
                </c:pt>
                <c:pt idx="45">
                  <c:v>150023.875</c:v>
                </c:pt>
                <c:pt idx="46">
                  <c:v>162178.625</c:v>
                </c:pt>
                <c:pt idx="47">
                  <c:v>149916.625</c:v>
                </c:pt>
                <c:pt idx="48">
                  <c:v>149738.3125</c:v>
                </c:pt>
                <c:pt idx="49">
                  <c:v>146698</c:v>
                </c:pt>
                <c:pt idx="50">
                  <c:v>148689.1875</c:v>
                </c:pt>
                <c:pt idx="51">
                  <c:v>154685.8125</c:v>
                </c:pt>
                <c:pt idx="52">
                  <c:v>155831.5</c:v>
                </c:pt>
                <c:pt idx="53">
                  <c:v>152948.375</c:v>
                </c:pt>
                <c:pt idx="54">
                  <c:v>158976.75</c:v>
                </c:pt>
                <c:pt idx="55">
                  <c:v>147296.125</c:v>
                </c:pt>
                <c:pt idx="56">
                  <c:v>152039.375</c:v>
                </c:pt>
                <c:pt idx="57">
                  <c:v>141524.9375</c:v>
                </c:pt>
                <c:pt idx="58">
                  <c:v>158085</c:v>
                </c:pt>
                <c:pt idx="59">
                  <c:v>151127.8125</c:v>
                </c:pt>
              </c:numCache>
            </c:numRef>
          </c:val>
          <c:smooth val="0"/>
          <c:extLst>
            <c:ext xmlns:c16="http://schemas.microsoft.com/office/drawing/2014/chart" uri="{C3380CC4-5D6E-409C-BE32-E72D297353CC}">
              <c16:uniqueId val="{00000000-9646-4B5C-82F1-8E451BFF07B4}"/>
            </c:ext>
          </c:extLst>
        </c:ser>
        <c:ser>
          <c:idx val="1"/>
          <c:order val="1"/>
          <c:tx>
            <c:strRef>
              <c:f>'Forecast Analysis'!$C$1</c:f>
              <c:strCache>
                <c:ptCount val="1"/>
                <c:pt idx="0">
                  <c:v>Forecast(Revenue)</c:v>
                </c:pt>
              </c:strCache>
            </c:strRef>
          </c:tx>
          <c:spPr>
            <a:ln w="25400" cap="rnd">
              <a:solidFill>
                <a:schemeClr val="accent2"/>
              </a:solidFill>
              <a:round/>
            </a:ln>
            <a:effectLst/>
          </c:spPr>
          <c:marker>
            <c:symbol val="none"/>
          </c:marker>
          <c:cat>
            <c:numRef>
              <c:f>'Forecast Analysis'!$A$2:$A$85</c:f>
              <c:numCache>
                <c:formatCode>m/d/yyyy</c:formatCode>
                <c:ptCount val="84"/>
                <c:pt idx="0">
                  <c:v>43131</c:v>
                </c:pt>
                <c:pt idx="1">
                  <c:v>43159</c:v>
                </c:pt>
                <c:pt idx="2">
                  <c:v>43190</c:v>
                </c:pt>
                <c:pt idx="3">
                  <c:v>43220</c:v>
                </c:pt>
                <c:pt idx="4">
                  <c:v>43251</c:v>
                </c:pt>
                <c:pt idx="5">
                  <c:v>43281</c:v>
                </c:pt>
                <c:pt idx="6">
                  <c:v>43312</c:v>
                </c:pt>
                <c:pt idx="7">
                  <c:v>43343</c:v>
                </c:pt>
                <c:pt idx="8">
                  <c:v>43373</c:v>
                </c:pt>
                <c:pt idx="9">
                  <c:v>43404</c:v>
                </c:pt>
                <c:pt idx="10">
                  <c:v>43434</c:v>
                </c:pt>
                <c:pt idx="11">
                  <c:v>43465</c:v>
                </c:pt>
                <c:pt idx="12">
                  <c:v>43496</c:v>
                </c:pt>
                <c:pt idx="13">
                  <c:v>43524</c:v>
                </c:pt>
                <c:pt idx="14">
                  <c:v>43555</c:v>
                </c:pt>
                <c:pt idx="15">
                  <c:v>43585</c:v>
                </c:pt>
                <c:pt idx="16">
                  <c:v>43616</c:v>
                </c:pt>
                <c:pt idx="17">
                  <c:v>43646</c:v>
                </c:pt>
                <c:pt idx="18">
                  <c:v>43677</c:v>
                </c:pt>
                <c:pt idx="19">
                  <c:v>43708</c:v>
                </c:pt>
                <c:pt idx="20">
                  <c:v>43738</c:v>
                </c:pt>
                <c:pt idx="21">
                  <c:v>43769</c:v>
                </c:pt>
                <c:pt idx="22">
                  <c:v>43799</c:v>
                </c:pt>
                <c:pt idx="23">
                  <c:v>43830</c:v>
                </c:pt>
                <c:pt idx="24">
                  <c:v>43861</c:v>
                </c:pt>
                <c:pt idx="25">
                  <c:v>43890</c:v>
                </c:pt>
                <c:pt idx="26">
                  <c:v>43921</c:v>
                </c:pt>
                <c:pt idx="27">
                  <c:v>43951</c:v>
                </c:pt>
                <c:pt idx="28">
                  <c:v>43982</c:v>
                </c:pt>
                <c:pt idx="29">
                  <c:v>44012</c:v>
                </c:pt>
                <c:pt idx="30">
                  <c:v>44043</c:v>
                </c:pt>
                <c:pt idx="31">
                  <c:v>44074</c:v>
                </c:pt>
                <c:pt idx="32">
                  <c:v>44104</c:v>
                </c:pt>
                <c:pt idx="33">
                  <c:v>44135</c:v>
                </c:pt>
                <c:pt idx="34">
                  <c:v>44165</c:v>
                </c:pt>
                <c:pt idx="35">
                  <c:v>44196</c:v>
                </c:pt>
                <c:pt idx="36">
                  <c:v>44227</c:v>
                </c:pt>
                <c:pt idx="37">
                  <c:v>44255</c:v>
                </c:pt>
                <c:pt idx="38">
                  <c:v>44286</c:v>
                </c:pt>
                <c:pt idx="39">
                  <c:v>44316</c:v>
                </c:pt>
                <c:pt idx="40">
                  <c:v>44347</c:v>
                </c:pt>
                <c:pt idx="41">
                  <c:v>44377</c:v>
                </c:pt>
                <c:pt idx="42">
                  <c:v>44408</c:v>
                </c:pt>
                <c:pt idx="43">
                  <c:v>44439</c:v>
                </c:pt>
                <c:pt idx="44">
                  <c:v>44469</c:v>
                </c:pt>
                <c:pt idx="45">
                  <c:v>44500</c:v>
                </c:pt>
                <c:pt idx="46">
                  <c:v>44530</c:v>
                </c:pt>
                <c:pt idx="47">
                  <c:v>44561</c:v>
                </c:pt>
                <c:pt idx="48">
                  <c:v>44592</c:v>
                </c:pt>
                <c:pt idx="49">
                  <c:v>44620</c:v>
                </c:pt>
                <c:pt idx="50">
                  <c:v>44651</c:v>
                </c:pt>
                <c:pt idx="51">
                  <c:v>44681</c:v>
                </c:pt>
                <c:pt idx="52">
                  <c:v>44712</c:v>
                </c:pt>
                <c:pt idx="53">
                  <c:v>44742</c:v>
                </c:pt>
                <c:pt idx="54">
                  <c:v>44773</c:v>
                </c:pt>
                <c:pt idx="55">
                  <c:v>44804</c:v>
                </c:pt>
                <c:pt idx="56">
                  <c:v>44834</c:v>
                </c:pt>
                <c:pt idx="57">
                  <c:v>44865</c:v>
                </c:pt>
                <c:pt idx="58">
                  <c:v>44895</c:v>
                </c:pt>
                <c:pt idx="59">
                  <c:v>44926</c:v>
                </c:pt>
                <c:pt idx="60">
                  <c:v>44957</c:v>
                </c:pt>
                <c:pt idx="61">
                  <c:v>44988</c:v>
                </c:pt>
                <c:pt idx="62">
                  <c:v>45016</c:v>
                </c:pt>
                <c:pt idx="63">
                  <c:v>45047</c:v>
                </c:pt>
                <c:pt idx="64">
                  <c:v>45077</c:v>
                </c:pt>
                <c:pt idx="65">
                  <c:v>45108</c:v>
                </c:pt>
                <c:pt idx="66">
                  <c:v>45138</c:v>
                </c:pt>
                <c:pt idx="67">
                  <c:v>45169</c:v>
                </c:pt>
                <c:pt idx="68">
                  <c:v>45200</c:v>
                </c:pt>
                <c:pt idx="69">
                  <c:v>45230</c:v>
                </c:pt>
                <c:pt idx="70">
                  <c:v>45261</c:v>
                </c:pt>
                <c:pt idx="71">
                  <c:v>45291</c:v>
                </c:pt>
                <c:pt idx="72">
                  <c:v>45322</c:v>
                </c:pt>
                <c:pt idx="73">
                  <c:v>45353</c:v>
                </c:pt>
                <c:pt idx="74">
                  <c:v>45382</c:v>
                </c:pt>
                <c:pt idx="75">
                  <c:v>45413</c:v>
                </c:pt>
                <c:pt idx="76">
                  <c:v>45443</c:v>
                </c:pt>
                <c:pt idx="77">
                  <c:v>45474</c:v>
                </c:pt>
                <c:pt idx="78">
                  <c:v>45504</c:v>
                </c:pt>
                <c:pt idx="79">
                  <c:v>45535</c:v>
                </c:pt>
                <c:pt idx="80">
                  <c:v>45566</c:v>
                </c:pt>
                <c:pt idx="81">
                  <c:v>45596</c:v>
                </c:pt>
                <c:pt idx="82">
                  <c:v>45627</c:v>
                </c:pt>
                <c:pt idx="83">
                  <c:v>45657</c:v>
                </c:pt>
              </c:numCache>
            </c:numRef>
          </c:cat>
          <c:val>
            <c:numRef>
              <c:f>'Forecast Analysis'!$C$2:$C$85</c:f>
              <c:numCache>
                <c:formatCode>General</c:formatCode>
                <c:ptCount val="84"/>
                <c:pt idx="59">
                  <c:v>151127.8125</c:v>
                </c:pt>
                <c:pt idx="60">
                  <c:v>146877.85466079568</c:v>
                </c:pt>
                <c:pt idx="61">
                  <c:v>147445.80702237101</c:v>
                </c:pt>
                <c:pt idx="62">
                  <c:v>143463.80202626143</c:v>
                </c:pt>
                <c:pt idx="63">
                  <c:v>153911.72291744442</c:v>
                </c:pt>
                <c:pt idx="64">
                  <c:v>148831.5048410882</c:v>
                </c:pt>
                <c:pt idx="65">
                  <c:v>157809.63972046427</c:v>
                </c:pt>
                <c:pt idx="66">
                  <c:v>157985.84078976233</c:v>
                </c:pt>
                <c:pt idx="67">
                  <c:v>156460.88540760518</c:v>
                </c:pt>
                <c:pt idx="68">
                  <c:v>156497.46649096583</c:v>
                </c:pt>
                <c:pt idx="69">
                  <c:v>146334.85984626596</c:v>
                </c:pt>
                <c:pt idx="70">
                  <c:v>151192.40711591314</c:v>
                </c:pt>
                <c:pt idx="71">
                  <c:v>153699.92596937268</c:v>
                </c:pt>
                <c:pt idx="72">
                  <c:v>147687.5608204873</c:v>
                </c:pt>
                <c:pt idx="73">
                  <c:v>148255.51318206263</c:v>
                </c:pt>
                <c:pt idx="74">
                  <c:v>144273.50818595305</c:v>
                </c:pt>
                <c:pt idx="75">
                  <c:v>154721.42907713607</c:v>
                </c:pt>
                <c:pt idx="76">
                  <c:v>149641.21100077985</c:v>
                </c:pt>
                <c:pt idx="77">
                  <c:v>158619.34588015592</c:v>
                </c:pt>
                <c:pt idx="78">
                  <c:v>158795.54694945397</c:v>
                </c:pt>
                <c:pt idx="79">
                  <c:v>157270.5915672968</c:v>
                </c:pt>
                <c:pt idx="80">
                  <c:v>157307.17265065745</c:v>
                </c:pt>
                <c:pt idx="81">
                  <c:v>147144.56600595757</c:v>
                </c:pt>
                <c:pt idx="82">
                  <c:v>152002.11327560476</c:v>
                </c:pt>
                <c:pt idx="83">
                  <c:v>154509.63212906432</c:v>
                </c:pt>
              </c:numCache>
            </c:numRef>
          </c:val>
          <c:smooth val="0"/>
          <c:extLst>
            <c:ext xmlns:c16="http://schemas.microsoft.com/office/drawing/2014/chart" uri="{C3380CC4-5D6E-409C-BE32-E72D297353CC}">
              <c16:uniqueId val="{00000001-9646-4B5C-82F1-8E451BFF07B4}"/>
            </c:ext>
          </c:extLst>
        </c:ser>
        <c:ser>
          <c:idx val="2"/>
          <c:order val="2"/>
          <c:tx>
            <c:strRef>
              <c:f>'Forecast Analysis'!$D$1</c:f>
              <c:strCache>
                <c:ptCount val="1"/>
                <c:pt idx="0">
                  <c:v>Lower Confidence Bound(Revenue)</c:v>
                </c:pt>
              </c:strCache>
            </c:strRef>
          </c:tx>
          <c:spPr>
            <a:ln w="12700" cap="rnd">
              <a:solidFill>
                <a:srgbClr val="C0504D"/>
              </a:solidFill>
              <a:prstDash val="solid"/>
              <a:round/>
            </a:ln>
            <a:effectLst/>
          </c:spPr>
          <c:marker>
            <c:symbol val="none"/>
          </c:marker>
          <c:cat>
            <c:numRef>
              <c:f>'Forecast Analysis'!$A$2:$A$85</c:f>
              <c:numCache>
                <c:formatCode>m/d/yyyy</c:formatCode>
                <c:ptCount val="84"/>
                <c:pt idx="0">
                  <c:v>43131</c:v>
                </c:pt>
                <c:pt idx="1">
                  <c:v>43159</c:v>
                </c:pt>
                <c:pt idx="2">
                  <c:v>43190</c:v>
                </c:pt>
                <c:pt idx="3">
                  <c:v>43220</c:v>
                </c:pt>
                <c:pt idx="4">
                  <c:v>43251</c:v>
                </c:pt>
                <c:pt idx="5">
                  <c:v>43281</c:v>
                </c:pt>
                <c:pt idx="6">
                  <c:v>43312</c:v>
                </c:pt>
                <c:pt idx="7">
                  <c:v>43343</c:v>
                </c:pt>
                <c:pt idx="8">
                  <c:v>43373</c:v>
                </c:pt>
                <c:pt idx="9">
                  <c:v>43404</c:v>
                </c:pt>
                <c:pt idx="10">
                  <c:v>43434</c:v>
                </c:pt>
                <c:pt idx="11">
                  <c:v>43465</c:v>
                </c:pt>
                <c:pt idx="12">
                  <c:v>43496</c:v>
                </c:pt>
                <c:pt idx="13">
                  <c:v>43524</c:v>
                </c:pt>
                <c:pt idx="14">
                  <c:v>43555</c:v>
                </c:pt>
                <c:pt idx="15">
                  <c:v>43585</c:v>
                </c:pt>
                <c:pt idx="16">
                  <c:v>43616</c:v>
                </c:pt>
                <c:pt idx="17">
                  <c:v>43646</c:v>
                </c:pt>
                <c:pt idx="18">
                  <c:v>43677</c:v>
                </c:pt>
                <c:pt idx="19">
                  <c:v>43708</c:v>
                </c:pt>
                <c:pt idx="20">
                  <c:v>43738</c:v>
                </c:pt>
                <c:pt idx="21">
                  <c:v>43769</c:v>
                </c:pt>
                <c:pt idx="22">
                  <c:v>43799</c:v>
                </c:pt>
                <c:pt idx="23">
                  <c:v>43830</c:v>
                </c:pt>
                <c:pt idx="24">
                  <c:v>43861</c:v>
                </c:pt>
                <c:pt idx="25">
                  <c:v>43890</c:v>
                </c:pt>
                <c:pt idx="26">
                  <c:v>43921</c:v>
                </c:pt>
                <c:pt idx="27">
                  <c:v>43951</c:v>
                </c:pt>
                <c:pt idx="28">
                  <c:v>43982</c:v>
                </c:pt>
                <c:pt idx="29">
                  <c:v>44012</c:v>
                </c:pt>
                <c:pt idx="30">
                  <c:v>44043</c:v>
                </c:pt>
                <c:pt idx="31">
                  <c:v>44074</c:v>
                </c:pt>
                <c:pt idx="32">
                  <c:v>44104</c:v>
                </c:pt>
                <c:pt idx="33">
                  <c:v>44135</c:v>
                </c:pt>
                <c:pt idx="34">
                  <c:v>44165</c:v>
                </c:pt>
                <c:pt idx="35">
                  <c:v>44196</c:v>
                </c:pt>
                <c:pt idx="36">
                  <c:v>44227</c:v>
                </c:pt>
                <c:pt idx="37">
                  <c:v>44255</c:v>
                </c:pt>
                <c:pt idx="38">
                  <c:v>44286</c:v>
                </c:pt>
                <c:pt idx="39">
                  <c:v>44316</c:v>
                </c:pt>
                <c:pt idx="40">
                  <c:v>44347</c:v>
                </c:pt>
                <c:pt idx="41">
                  <c:v>44377</c:v>
                </c:pt>
                <c:pt idx="42">
                  <c:v>44408</c:v>
                </c:pt>
                <c:pt idx="43">
                  <c:v>44439</c:v>
                </c:pt>
                <c:pt idx="44">
                  <c:v>44469</c:v>
                </c:pt>
                <c:pt idx="45">
                  <c:v>44500</c:v>
                </c:pt>
                <c:pt idx="46">
                  <c:v>44530</c:v>
                </c:pt>
                <c:pt idx="47">
                  <c:v>44561</c:v>
                </c:pt>
                <c:pt idx="48">
                  <c:v>44592</c:v>
                </c:pt>
                <c:pt idx="49">
                  <c:v>44620</c:v>
                </c:pt>
                <c:pt idx="50">
                  <c:v>44651</c:v>
                </c:pt>
                <c:pt idx="51">
                  <c:v>44681</c:v>
                </c:pt>
                <c:pt idx="52">
                  <c:v>44712</c:v>
                </c:pt>
                <c:pt idx="53">
                  <c:v>44742</c:v>
                </c:pt>
                <c:pt idx="54">
                  <c:v>44773</c:v>
                </c:pt>
                <c:pt idx="55">
                  <c:v>44804</c:v>
                </c:pt>
                <c:pt idx="56">
                  <c:v>44834</c:v>
                </c:pt>
                <c:pt idx="57">
                  <c:v>44865</c:v>
                </c:pt>
                <c:pt idx="58">
                  <c:v>44895</c:v>
                </c:pt>
                <c:pt idx="59">
                  <c:v>44926</c:v>
                </c:pt>
                <c:pt idx="60">
                  <c:v>44957</c:v>
                </c:pt>
                <c:pt idx="61">
                  <c:v>44988</c:v>
                </c:pt>
                <c:pt idx="62">
                  <c:v>45016</c:v>
                </c:pt>
                <c:pt idx="63">
                  <c:v>45047</c:v>
                </c:pt>
                <c:pt idx="64">
                  <c:v>45077</c:v>
                </c:pt>
                <c:pt idx="65">
                  <c:v>45108</c:v>
                </c:pt>
                <c:pt idx="66">
                  <c:v>45138</c:v>
                </c:pt>
                <c:pt idx="67">
                  <c:v>45169</c:v>
                </c:pt>
                <c:pt idx="68">
                  <c:v>45200</c:v>
                </c:pt>
                <c:pt idx="69">
                  <c:v>45230</c:v>
                </c:pt>
                <c:pt idx="70">
                  <c:v>45261</c:v>
                </c:pt>
                <c:pt idx="71">
                  <c:v>45291</c:v>
                </c:pt>
                <c:pt idx="72">
                  <c:v>45322</c:v>
                </c:pt>
                <c:pt idx="73">
                  <c:v>45353</c:v>
                </c:pt>
                <c:pt idx="74">
                  <c:v>45382</c:v>
                </c:pt>
                <c:pt idx="75">
                  <c:v>45413</c:v>
                </c:pt>
                <c:pt idx="76">
                  <c:v>45443</c:v>
                </c:pt>
                <c:pt idx="77">
                  <c:v>45474</c:v>
                </c:pt>
                <c:pt idx="78">
                  <c:v>45504</c:v>
                </c:pt>
                <c:pt idx="79">
                  <c:v>45535</c:v>
                </c:pt>
                <c:pt idx="80">
                  <c:v>45566</c:v>
                </c:pt>
                <c:pt idx="81">
                  <c:v>45596</c:v>
                </c:pt>
                <c:pt idx="82">
                  <c:v>45627</c:v>
                </c:pt>
                <c:pt idx="83">
                  <c:v>45657</c:v>
                </c:pt>
              </c:numCache>
            </c:numRef>
          </c:cat>
          <c:val>
            <c:numRef>
              <c:f>'Forecast Analysis'!$D$2:$D$85</c:f>
              <c:numCache>
                <c:formatCode>General</c:formatCode>
                <c:ptCount val="84"/>
                <c:pt idx="59" formatCode="0.00">
                  <c:v>151127.8125</c:v>
                </c:pt>
                <c:pt idx="60" formatCode="0.00">
                  <c:v>133379.6941411435</c:v>
                </c:pt>
                <c:pt idx="61" formatCode="0.00">
                  <c:v>133839.2260169732</c:v>
                </c:pt>
                <c:pt idx="62" formatCode="0.00">
                  <c:v>129747.96384609002</c:v>
                </c:pt>
                <c:pt idx="63" formatCode="0.00">
                  <c:v>140085.79753070956</c:v>
                </c:pt>
                <c:pt idx="64" formatCode="0.00">
                  <c:v>134894.66881199391</c:v>
                </c:pt>
                <c:pt idx="65" formatCode="0.00">
                  <c:v>143761.07614648179</c:v>
                </c:pt>
                <c:pt idx="66" formatCode="0.00">
                  <c:v>143824.739237576</c:v>
                </c:pt>
                <c:pt idx="67" formatCode="0.00">
                  <c:v>142186.44184787734</c:v>
                </c:pt>
                <c:pt idx="68" formatCode="0.00">
                  <c:v>142108.88323205995</c:v>
                </c:pt>
                <c:pt idx="69" formatCode="0.00">
                  <c:v>131831.3454670597</c:v>
                </c:pt>
                <c:pt idx="70" formatCode="0.00">
                  <c:v>136573.17639782617</c:v>
                </c:pt>
                <c:pt idx="71" formatCode="0.00">
                  <c:v>138964.19982772678</c:v>
                </c:pt>
                <c:pt idx="72" formatCode="0.00">
                  <c:v>132832.86736552944</c:v>
                </c:pt>
                <c:pt idx="73" formatCode="0.00">
                  <c:v>133282.79765147335</c:v>
                </c:pt>
                <c:pt idx="74" formatCode="0.00">
                  <c:v>129182.00935471465</c:v>
                </c:pt>
                <c:pt idx="75" formatCode="0.00">
                  <c:v>139510.39157532825</c:v>
                </c:pt>
                <c:pt idx="76" formatCode="0.00">
                  <c:v>134309.8852432002</c:v>
                </c:pt>
                <c:pt idx="77" formatCode="0.00">
                  <c:v>143166.9879958455</c:v>
                </c:pt>
                <c:pt idx="78" formatCode="0.00">
                  <c:v>143221.41871120472</c:v>
                </c:pt>
                <c:pt idx="79" formatCode="0.00">
                  <c:v>141573.9603212119</c:v>
                </c:pt>
                <c:pt idx="80" formatCode="0.00">
                  <c:v>141487.31124583181</c:v>
                </c:pt>
                <c:pt idx="81" formatCode="0.00">
                  <c:v>131200.75272434024</c:v>
                </c:pt>
                <c:pt idx="82" formatCode="0.00">
                  <c:v>135933.63176210137</c:v>
                </c:pt>
                <c:pt idx="83" formatCode="0.00">
                  <c:v>138315.77132193328</c:v>
                </c:pt>
              </c:numCache>
            </c:numRef>
          </c:val>
          <c:smooth val="0"/>
          <c:extLst>
            <c:ext xmlns:c16="http://schemas.microsoft.com/office/drawing/2014/chart" uri="{C3380CC4-5D6E-409C-BE32-E72D297353CC}">
              <c16:uniqueId val="{00000002-9646-4B5C-82F1-8E451BFF07B4}"/>
            </c:ext>
          </c:extLst>
        </c:ser>
        <c:ser>
          <c:idx val="3"/>
          <c:order val="3"/>
          <c:tx>
            <c:strRef>
              <c:f>'Forecast Analysis'!$E$1</c:f>
              <c:strCache>
                <c:ptCount val="1"/>
                <c:pt idx="0">
                  <c:v>Upper Confidence Bound(Revenue)</c:v>
                </c:pt>
              </c:strCache>
            </c:strRef>
          </c:tx>
          <c:spPr>
            <a:ln w="12700" cap="rnd">
              <a:solidFill>
                <a:srgbClr val="C0504D"/>
              </a:solidFill>
              <a:prstDash val="solid"/>
              <a:round/>
            </a:ln>
            <a:effectLst/>
          </c:spPr>
          <c:marker>
            <c:symbol val="none"/>
          </c:marker>
          <c:cat>
            <c:numRef>
              <c:f>'Forecast Analysis'!$A$2:$A$85</c:f>
              <c:numCache>
                <c:formatCode>m/d/yyyy</c:formatCode>
                <c:ptCount val="84"/>
                <c:pt idx="0">
                  <c:v>43131</c:v>
                </c:pt>
                <c:pt idx="1">
                  <c:v>43159</c:v>
                </c:pt>
                <c:pt idx="2">
                  <c:v>43190</c:v>
                </c:pt>
                <c:pt idx="3">
                  <c:v>43220</c:v>
                </c:pt>
                <c:pt idx="4">
                  <c:v>43251</c:v>
                </c:pt>
                <c:pt idx="5">
                  <c:v>43281</c:v>
                </c:pt>
                <c:pt idx="6">
                  <c:v>43312</c:v>
                </c:pt>
                <c:pt idx="7">
                  <c:v>43343</c:v>
                </c:pt>
                <c:pt idx="8">
                  <c:v>43373</c:v>
                </c:pt>
                <c:pt idx="9">
                  <c:v>43404</c:v>
                </c:pt>
                <c:pt idx="10">
                  <c:v>43434</c:v>
                </c:pt>
                <c:pt idx="11">
                  <c:v>43465</c:v>
                </c:pt>
                <c:pt idx="12">
                  <c:v>43496</c:v>
                </c:pt>
                <c:pt idx="13">
                  <c:v>43524</c:v>
                </c:pt>
                <c:pt idx="14">
                  <c:v>43555</c:v>
                </c:pt>
                <c:pt idx="15">
                  <c:v>43585</c:v>
                </c:pt>
                <c:pt idx="16">
                  <c:v>43616</c:v>
                </c:pt>
                <c:pt idx="17">
                  <c:v>43646</c:v>
                </c:pt>
                <c:pt idx="18">
                  <c:v>43677</c:v>
                </c:pt>
                <c:pt idx="19">
                  <c:v>43708</c:v>
                </c:pt>
                <c:pt idx="20">
                  <c:v>43738</c:v>
                </c:pt>
                <c:pt idx="21">
                  <c:v>43769</c:v>
                </c:pt>
                <c:pt idx="22">
                  <c:v>43799</c:v>
                </c:pt>
                <c:pt idx="23">
                  <c:v>43830</c:v>
                </c:pt>
                <c:pt idx="24">
                  <c:v>43861</c:v>
                </c:pt>
                <c:pt idx="25">
                  <c:v>43890</c:v>
                </c:pt>
                <c:pt idx="26">
                  <c:v>43921</c:v>
                </c:pt>
                <c:pt idx="27">
                  <c:v>43951</c:v>
                </c:pt>
                <c:pt idx="28">
                  <c:v>43982</c:v>
                </c:pt>
                <c:pt idx="29">
                  <c:v>44012</c:v>
                </c:pt>
                <c:pt idx="30">
                  <c:v>44043</c:v>
                </c:pt>
                <c:pt idx="31">
                  <c:v>44074</c:v>
                </c:pt>
                <c:pt idx="32">
                  <c:v>44104</c:v>
                </c:pt>
                <c:pt idx="33">
                  <c:v>44135</c:v>
                </c:pt>
                <c:pt idx="34">
                  <c:v>44165</c:v>
                </c:pt>
                <c:pt idx="35">
                  <c:v>44196</c:v>
                </c:pt>
                <c:pt idx="36">
                  <c:v>44227</c:v>
                </c:pt>
                <c:pt idx="37">
                  <c:v>44255</c:v>
                </c:pt>
                <c:pt idx="38">
                  <c:v>44286</c:v>
                </c:pt>
                <c:pt idx="39">
                  <c:v>44316</c:v>
                </c:pt>
                <c:pt idx="40">
                  <c:v>44347</c:v>
                </c:pt>
                <c:pt idx="41">
                  <c:v>44377</c:v>
                </c:pt>
                <c:pt idx="42">
                  <c:v>44408</c:v>
                </c:pt>
                <c:pt idx="43">
                  <c:v>44439</c:v>
                </c:pt>
                <c:pt idx="44">
                  <c:v>44469</c:v>
                </c:pt>
                <c:pt idx="45">
                  <c:v>44500</c:v>
                </c:pt>
                <c:pt idx="46">
                  <c:v>44530</c:v>
                </c:pt>
                <c:pt idx="47">
                  <c:v>44561</c:v>
                </c:pt>
                <c:pt idx="48">
                  <c:v>44592</c:v>
                </c:pt>
                <c:pt idx="49">
                  <c:v>44620</c:v>
                </c:pt>
                <c:pt idx="50">
                  <c:v>44651</c:v>
                </c:pt>
                <c:pt idx="51">
                  <c:v>44681</c:v>
                </c:pt>
                <c:pt idx="52">
                  <c:v>44712</c:v>
                </c:pt>
                <c:pt idx="53">
                  <c:v>44742</c:v>
                </c:pt>
                <c:pt idx="54">
                  <c:v>44773</c:v>
                </c:pt>
                <c:pt idx="55">
                  <c:v>44804</c:v>
                </c:pt>
                <c:pt idx="56">
                  <c:v>44834</c:v>
                </c:pt>
                <c:pt idx="57">
                  <c:v>44865</c:v>
                </c:pt>
                <c:pt idx="58">
                  <c:v>44895</c:v>
                </c:pt>
                <c:pt idx="59">
                  <c:v>44926</c:v>
                </c:pt>
                <c:pt idx="60">
                  <c:v>44957</c:v>
                </c:pt>
                <c:pt idx="61">
                  <c:v>44988</c:v>
                </c:pt>
                <c:pt idx="62">
                  <c:v>45016</c:v>
                </c:pt>
                <c:pt idx="63">
                  <c:v>45047</c:v>
                </c:pt>
                <c:pt idx="64">
                  <c:v>45077</c:v>
                </c:pt>
                <c:pt idx="65">
                  <c:v>45108</c:v>
                </c:pt>
                <c:pt idx="66">
                  <c:v>45138</c:v>
                </c:pt>
                <c:pt idx="67">
                  <c:v>45169</c:v>
                </c:pt>
                <c:pt idx="68">
                  <c:v>45200</c:v>
                </c:pt>
                <c:pt idx="69">
                  <c:v>45230</c:v>
                </c:pt>
                <c:pt idx="70">
                  <c:v>45261</c:v>
                </c:pt>
                <c:pt idx="71">
                  <c:v>45291</c:v>
                </c:pt>
                <c:pt idx="72">
                  <c:v>45322</c:v>
                </c:pt>
                <c:pt idx="73">
                  <c:v>45353</c:v>
                </c:pt>
                <c:pt idx="74">
                  <c:v>45382</c:v>
                </c:pt>
                <c:pt idx="75">
                  <c:v>45413</c:v>
                </c:pt>
                <c:pt idx="76">
                  <c:v>45443</c:v>
                </c:pt>
                <c:pt idx="77">
                  <c:v>45474</c:v>
                </c:pt>
                <c:pt idx="78">
                  <c:v>45504</c:v>
                </c:pt>
                <c:pt idx="79">
                  <c:v>45535</c:v>
                </c:pt>
                <c:pt idx="80">
                  <c:v>45566</c:v>
                </c:pt>
                <c:pt idx="81">
                  <c:v>45596</c:v>
                </c:pt>
                <c:pt idx="82">
                  <c:v>45627</c:v>
                </c:pt>
                <c:pt idx="83">
                  <c:v>45657</c:v>
                </c:pt>
              </c:numCache>
            </c:numRef>
          </c:cat>
          <c:val>
            <c:numRef>
              <c:f>'Forecast Analysis'!$E$2:$E$85</c:f>
              <c:numCache>
                <c:formatCode>General</c:formatCode>
                <c:ptCount val="84"/>
                <c:pt idx="59" formatCode="0.00">
                  <c:v>151127.8125</c:v>
                </c:pt>
                <c:pt idx="60" formatCode="0.00">
                  <c:v>160376.01518044787</c:v>
                </c:pt>
                <c:pt idx="61" formatCode="0.00">
                  <c:v>161052.38802776881</c:v>
                </c:pt>
                <c:pt idx="62" formatCode="0.00">
                  <c:v>157179.64020643284</c:v>
                </c:pt>
                <c:pt idx="63" formatCode="0.00">
                  <c:v>167737.64830417928</c:v>
                </c:pt>
                <c:pt idx="64" formatCode="0.00">
                  <c:v>162768.3408701825</c:v>
                </c:pt>
                <c:pt idx="65" formatCode="0.00">
                  <c:v>171858.20329444675</c:v>
                </c:pt>
                <c:pt idx="66" formatCode="0.00">
                  <c:v>172146.94234194866</c:v>
                </c:pt>
                <c:pt idx="67" formatCode="0.00">
                  <c:v>170735.32896733301</c:v>
                </c:pt>
                <c:pt idx="68" formatCode="0.00">
                  <c:v>170886.04974987172</c:v>
                </c:pt>
                <c:pt idx="69" formatCode="0.00">
                  <c:v>160838.37422547222</c:v>
                </c:pt>
                <c:pt idx="70" formatCode="0.00">
                  <c:v>165811.63783400011</c:v>
                </c:pt>
                <c:pt idx="71" formatCode="0.00">
                  <c:v>168435.65211101857</c:v>
                </c:pt>
                <c:pt idx="72" formatCode="0.00">
                  <c:v>162542.25427544516</c:v>
                </c:pt>
                <c:pt idx="73" formatCode="0.00">
                  <c:v>163228.22871265191</c:v>
                </c:pt>
                <c:pt idx="74" formatCode="0.00">
                  <c:v>159365.00701719144</c:v>
                </c:pt>
                <c:pt idx="75" formatCode="0.00">
                  <c:v>169932.46657894389</c:v>
                </c:pt>
                <c:pt idx="76" formatCode="0.00">
                  <c:v>164972.53675835949</c:v>
                </c:pt>
                <c:pt idx="77" formatCode="0.00">
                  <c:v>174071.70376446634</c:v>
                </c:pt>
                <c:pt idx="78" formatCode="0.00">
                  <c:v>174369.67518770322</c:v>
                </c:pt>
                <c:pt idx="79" formatCode="0.00">
                  <c:v>172967.2228133817</c:v>
                </c:pt>
                <c:pt idx="80" formatCode="0.00">
                  <c:v>173127.03405548309</c:v>
                </c:pt>
                <c:pt idx="81" formatCode="0.00">
                  <c:v>163088.37928757491</c:v>
                </c:pt>
                <c:pt idx="82" formatCode="0.00">
                  <c:v>168070.59478910815</c:v>
                </c:pt>
                <c:pt idx="83" formatCode="0.00">
                  <c:v>170703.49293619537</c:v>
                </c:pt>
              </c:numCache>
            </c:numRef>
          </c:val>
          <c:smooth val="0"/>
          <c:extLst>
            <c:ext xmlns:c16="http://schemas.microsoft.com/office/drawing/2014/chart" uri="{C3380CC4-5D6E-409C-BE32-E72D297353CC}">
              <c16:uniqueId val="{00000003-9646-4B5C-82F1-8E451BFF07B4}"/>
            </c:ext>
          </c:extLst>
        </c:ser>
        <c:dLbls>
          <c:showLegendKey val="0"/>
          <c:showVal val="0"/>
          <c:showCatName val="0"/>
          <c:showSerName val="0"/>
          <c:showPercent val="0"/>
          <c:showBubbleSize val="0"/>
        </c:dLbls>
        <c:smooth val="0"/>
        <c:axId val="707176671"/>
        <c:axId val="707181711"/>
      </c:lineChart>
      <c:catAx>
        <c:axId val="70717667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07181711"/>
        <c:crosses val="autoZero"/>
        <c:auto val="1"/>
        <c:lblAlgn val="ctr"/>
        <c:lblOffset val="100"/>
        <c:noMultiLvlLbl val="0"/>
      </c:catAx>
      <c:valAx>
        <c:axId val="707181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07176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[finance_project.xlsx]Analysis!PivotTable20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Analysis!$A$4:$A$9</c:f>
              <c:strCache>
                <c:ptCount val="5"/>
                <c:pt idx="0">
                  <c:v>2018</c:v>
                </c:pt>
                <c:pt idx="1">
                  <c:v>2019</c:v>
                </c:pt>
                <c:pt idx="2">
                  <c:v>2020</c:v>
                </c:pt>
                <c:pt idx="3">
                  <c:v>2021</c:v>
                </c:pt>
                <c:pt idx="4">
                  <c:v>2022</c:v>
                </c:pt>
              </c:strCache>
            </c:strRef>
          </c:cat>
          <c:val>
            <c:numRef>
              <c:f>Analysis!$B$4:$B$9</c:f>
              <c:numCache>
                <c:formatCode>_-[$$-409]* #,##0.0_ ;_-[$$-409]* \-#,##0.0\ ;_-[$$-409]* "-"??_ ;_-@_ </c:formatCode>
                <c:ptCount val="5"/>
                <c:pt idx="0">
                  <c:v>5312157</c:v>
                </c:pt>
                <c:pt idx="1">
                  <c:v>3917431</c:v>
                </c:pt>
                <c:pt idx="2">
                  <c:v>5739834</c:v>
                </c:pt>
                <c:pt idx="3">
                  <c:v>5326238</c:v>
                </c:pt>
                <c:pt idx="4">
                  <c:v>5947469</c:v>
                </c:pt>
              </c:numCache>
            </c:numRef>
          </c:val>
          <c:smooth val="1"/>
          <c:extLst>
            <c:ext xmlns:c16="http://schemas.microsoft.com/office/drawing/2014/chart" uri="{C3380CC4-5D6E-409C-BE32-E72D297353CC}">
              <c16:uniqueId val="{00000000-8834-4F25-A06D-1D37A1287228}"/>
            </c:ext>
          </c:extLst>
        </c:ser>
        <c:dLbls>
          <c:dLblPos val="t"/>
          <c:showLegendKey val="0"/>
          <c:showVal val="1"/>
          <c:showCatName val="0"/>
          <c:showSerName val="0"/>
          <c:showPercent val="0"/>
          <c:showBubbleSize val="0"/>
        </c:dLbls>
        <c:marker val="1"/>
        <c:smooth val="0"/>
        <c:axId val="1338923384"/>
        <c:axId val="1338920504"/>
      </c:lineChart>
      <c:catAx>
        <c:axId val="1338923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1338920504"/>
        <c:crosses val="autoZero"/>
        <c:auto val="1"/>
        <c:lblAlgn val="ctr"/>
        <c:lblOffset val="100"/>
        <c:noMultiLvlLbl val="0"/>
      </c:catAx>
      <c:valAx>
        <c:axId val="1338920504"/>
        <c:scaling>
          <c:orientation val="minMax"/>
        </c:scaling>
        <c:delete val="0"/>
        <c:axPos val="l"/>
        <c:majorGridlines>
          <c:spPr>
            <a:ln w="9525" cap="flat" cmpd="sng" algn="ctr">
              <a:solidFill>
                <a:schemeClr val="bg1">
                  <a:lumMod val="85000"/>
                  <a:alpha val="50000"/>
                </a:schemeClr>
              </a:solidFill>
              <a:round/>
            </a:ln>
            <a:effectLst/>
          </c:spPr>
        </c:majorGridlines>
        <c:numFmt formatCode="_-[$$-409]* #,##0.0_ ;_-[$$-409]* \-#,##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1338923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[finance_project.xlsx]Analysis!PivotTable21</c:name>
    <c:fmtId val="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Department Vs Cost Efficiency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Analysis!$F$3</c:f>
              <c:strCache>
                <c:ptCount val="1"/>
                <c:pt idx="0">
                  <c:v>Total</c:v>
                </c:pt>
              </c:strCache>
            </c:strRef>
          </c:tx>
          <c:spPr>
            <a:solidFill>
              <a:schemeClr val="accent1"/>
            </a:solidFill>
            <a:ln>
              <a:noFill/>
            </a:ln>
            <a:effectLst/>
          </c:spPr>
          <c:invertIfNegative val="0"/>
          <c:cat>
            <c:strRef>
              <c:f>Analysis!$E$4:$E$8</c:f>
              <c:strCache>
                <c:ptCount val="4"/>
                <c:pt idx="0">
                  <c:v>Marketing</c:v>
                </c:pt>
                <c:pt idx="1">
                  <c:v>Admin</c:v>
                </c:pt>
                <c:pt idx="2">
                  <c:v>Sales</c:v>
                </c:pt>
                <c:pt idx="3">
                  <c:v>R&amp;D</c:v>
                </c:pt>
              </c:strCache>
            </c:strRef>
          </c:cat>
          <c:val>
            <c:numRef>
              <c:f>Analysis!$F$4:$F$8</c:f>
              <c:numCache>
                <c:formatCode>_-[$$-409]* #,##0.0_ ;_-[$$-409]* \-#,##0.0\ ;_-[$$-409]* "-"??_ ;_-@_ </c:formatCode>
                <c:ptCount val="4"/>
                <c:pt idx="0">
                  <c:v>349.75089750088762</c:v>
                </c:pt>
                <c:pt idx="1">
                  <c:v>354.5513769341764</c:v>
                </c:pt>
                <c:pt idx="2">
                  <c:v>356.68221045517373</c:v>
                </c:pt>
                <c:pt idx="3">
                  <c:v>360.94071744459598</c:v>
                </c:pt>
              </c:numCache>
            </c:numRef>
          </c:val>
          <c:extLst>
            <c:ext xmlns:c16="http://schemas.microsoft.com/office/drawing/2014/chart" uri="{C3380CC4-5D6E-409C-BE32-E72D297353CC}">
              <c16:uniqueId val="{00000000-7026-4ADE-BB77-DEBEA88D23E2}"/>
            </c:ext>
          </c:extLst>
        </c:ser>
        <c:dLbls>
          <c:showLegendKey val="0"/>
          <c:showVal val="0"/>
          <c:showCatName val="0"/>
          <c:showSerName val="0"/>
          <c:showPercent val="0"/>
          <c:showBubbleSize val="0"/>
        </c:dLbls>
        <c:gapWidth val="219"/>
        <c:overlap val="-27"/>
        <c:axId val="363653303"/>
        <c:axId val="519362712"/>
      </c:barChart>
      <c:catAx>
        <c:axId val="363653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519362712"/>
        <c:crosses val="autoZero"/>
        <c:auto val="1"/>
        <c:lblAlgn val="ctr"/>
        <c:lblOffset val="100"/>
        <c:noMultiLvlLbl val="0"/>
      </c:catAx>
      <c:valAx>
        <c:axId val="519362712"/>
        <c:scaling>
          <c:orientation val="minMax"/>
        </c:scaling>
        <c:delete val="0"/>
        <c:axPos val="l"/>
        <c:majorGridlines>
          <c:spPr>
            <a:ln w="9525" cap="flat" cmpd="sng" algn="ctr">
              <a:solidFill>
                <a:schemeClr val="bg1">
                  <a:lumMod val="85000"/>
                  <a:alpha val="50000"/>
                </a:schemeClr>
              </a:solidFill>
              <a:round/>
            </a:ln>
            <a:effectLst/>
          </c:spPr>
        </c:majorGridlines>
        <c:numFmt formatCode="_-[$$-409]* #,##0.0_ ;_-[$$-409]* \-#,##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363653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[finance_project.xlsx]Analysis!PivotTable22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Slicer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Analysis!$B$12</c:f>
              <c:strCache>
                <c:ptCount val="1"/>
                <c:pt idx="0">
                  <c:v>Total</c:v>
                </c:pt>
              </c:strCache>
            </c:strRef>
          </c:tx>
          <c:spPr>
            <a:solidFill>
              <a:schemeClr val="accent1"/>
            </a:solidFill>
            <a:ln>
              <a:noFill/>
            </a:ln>
            <a:effectLst/>
          </c:spPr>
          <c:invertIfNegative val="0"/>
          <c:cat>
            <c:strRef>
              <c:f>Analysis!$A$13:$A$17</c:f>
              <c:strCache>
                <c:ptCount val="4"/>
                <c:pt idx="0">
                  <c:v>East</c:v>
                </c:pt>
                <c:pt idx="1">
                  <c:v>South</c:v>
                </c:pt>
                <c:pt idx="2">
                  <c:v>North</c:v>
                </c:pt>
                <c:pt idx="3">
                  <c:v>West</c:v>
                </c:pt>
              </c:strCache>
            </c:strRef>
          </c:cat>
          <c:val>
            <c:numRef>
              <c:f>Analysis!$B$13:$B$17</c:f>
              <c:numCache>
                <c:formatCode>_-[$$-409]* #,##0.0_ ;_-[$$-409]* \-#,##0.0\ ;_-[$$-409]* "-"??_ ;_-@_ </c:formatCode>
                <c:ptCount val="4"/>
                <c:pt idx="0">
                  <c:v>376.34300995945273</c:v>
                </c:pt>
                <c:pt idx="1">
                  <c:v>357.40726582781116</c:v>
                </c:pt>
                <c:pt idx="2">
                  <c:v>354.87410769482301</c:v>
                </c:pt>
                <c:pt idx="3">
                  <c:v>333.3008188527466</c:v>
                </c:pt>
              </c:numCache>
            </c:numRef>
          </c:val>
          <c:extLst>
            <c:ext xmlns:c16="http://schemas.microsoft.com/office/drawing/2014/chart" uri="{C3380CC4-5D6E-409C-BE32-E72D297353CC}">
              <c16:uniqueId val="{00000000-D0D3-4279-8D7D-5764FD799984}"/>
            </c:ext>
          </c:extLst>
        </c:ser>
        <c:dLbls>
          <c:showLegendKey val="0"/>
          <c:showVal val="0"/>
          <c:showCatName val="0"/>
          <c:showSerName val="0"/>
          <c:showPercent val="0"/>
          <c:showBubbleSize val="0"/>
        </c:dLbls>
        <c:gapWidth val="219"/>
        <c:overlap val="-27"/>
        <c:axId val="704739919"/>
        <c:axId val="704740639"/>
      </c:barChart>
      <c:catAx>
        <c:axId val="70473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04740639"/>
        <c:crosses val="autoZero"/>
        <c:auto val="1"/>
        <c:lblAlgn val="ctr"/>
        <c:lblOffset val="100"/>
        <c:noMultiLvlLbl val="0"/>
      </c:catAx>
      <c:valAx>
        <c:axId val="704740639"/>
        <c:scaling>
          <c:orientation val="minMax"/>
        </c:scaling>
        <c:delete val="0"/>
        <c:axPos val="l"/>
        <c:majorGridlines>
          <c:spPr>
            <a:ln w="9525" cap="flat" cmpd="sng" algn="ctr">
              <a:solidFill>
                <a:schemeClr val="tx1">
                  <a:lumMod val="15000"/>
                  <a:lumOff val="85000"/>
                </a:schemeClr>
              </a:solidFill>
              <a:round/>
            </a:ln>
            <a:effectLst/>
          </c:spPr>
        </c:majorGridlines>
        <c:numFmt formatCode="_-[$$-409]* #,##0.0_ ;_-[$$-409]* \-#,##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0473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[finance_project.xlsx]Analysis!PivotTable24</c:name>
    <c:fmtId val="1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Operating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Analysis!$J$3</c:f>
              <c:strCache>
                <c:ptCount val="1"/>
                <c:pt idx="0">
                  <c:v>Total</c:v>
                </c:pt>
              </c:strCache>
            </c:strRef>
          </c:tx>
          <c:spPr>
            <a:solidFill>
              <a:schemeClr val="accent1"/>
            </a:solidFill>
            <a:ln>
              <a:noFill/>
            </a:ln>
            <a:effectLst/>
          </c:spPr>
          <c:invertIfNegative val="0"/>
          <c:cat>
            <c:strRef>
              <c:f>Analysis!$I$4:$I$9</c:f>
              <c:strCache>
                <c:ptCount val="5"/>
                <c:pt idx="0">
                  <c:v>2022</c:v>
                </c:pt>
                <c:pt idx="1">
                  <c:v>2020</c:v>
                </c:pt>
                <c:pt idx="2">
                  <c:v>2018</c:v>
                </c:pt>
                <c:pt idx="3">
                  <c:v>2021</c:v>
                </c:pt>
                <c:pt idx="4">
                  <c:v>2019</c:v>
                </c:pt>
              </c:strCache>
            </c:strRef>
          </c:cat>
          <c:val>
            <c:numRef>
              <c:f>Analysis!$J$4:$J$9</c:f>
              <c:numCache>
                <c:formatCode>0.0</c:formatCode>
                <c:ptCount val="5"/>
                <c:pt idx="0">
                  <c:v>0.25557230447353935</c:v>
                </c:pt>
                <c:pt idx="1">
                  <c:v>0.25170485515560753</c:v>
                </c:pt>
                <c:pt idx="2">
                  <c:v>0.24319779432998392</c:v>
                </c:pt>
                <c:pt idx="3">
                  <c:v>0.23410619811831301</c:v>
                </c:pt>
                <c:pt idx="4">
                  <c:v>0.19537354414005112</c:v>
                </c:pt>
              </c:numCache>
            </c:numRef>
          </c:val>
          <c:extLst>
            <c:ext xmlns:c16="http://schemas.microsoft.com/office/drawing/2014/chart" uri="{C3380CC4-5D6E-409C-BE32-E72D297353CC}">
              <c16:uniqueId val="{00000000-D74A-4536-B6E2-357A153E602A}"/>
            </c:ext>
          </c:extLst>
        </c:ser>
        <c:dLbls>
          <c:showLegendKey val="0"/>
          <c:showVal val="0"/>
          <c:showCatName val="0"/>
          <c:showSerName val="0"/>
          <c:showPercent val="0"/>
          <c:showBubbleSize val="0"/>
        </c:dLbls>
        <c:gapWidth val="219"/>
        <c:overlap val="-27"/>
        <c:axId val="706767735"/>
        <c:axId val="706764495"/>
      </c:barChart>
      <c:catAx>
        <c:axId val="706767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706764495"/>
        <c:crosses val="autoZero"/>
        <c:auto val="1"/>
        <c:lblAlgn val="ctr"/>
        <c:lblOffset val="100"/>
        <c:noMultiLvlLbl val="0"/>
      </c:catAx>
      <c:valAx>
        <c:axId val="70676449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706767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[finance_project.xlsx]Analysis!PivotTable26</c:name>
    <c:fmtId val="21"/>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Operating Expenses Vs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Analysis!$E$12:$E$13</c:f>
              <c:strCache>
                <c:ptCount val="1"/>
                <c:pt idx="0">
                  <c:v>Admin</c:v>
                </c:pt>
              </c:strCache>
            </c:strRef>
          </c:tx>
          <c:spPr>
            <a:solidFill>
              <a:schemeClr val="accent1"/>
            </a:solidFill>
            <a:ln>
              <a:noFill/>
            </a:ln>
            <a:effectLst/>
          </c:spPr>
          <c:invertIfNegative val="0"/>
          <c:cat>
            <c:strRef>
              <c:f>Analysis!$D$14:$D$19</c:f>
              <c:strCache>
                <c:ptCount val="5"/>
                <c:pt idx="0">
                  <c:v>2018</c:v>
                </c:pt>
                <c:pt idx="1">
                  <c:v>2019</c:v>
                </c:pt>
                <c:pt idx="2">
                  <c:v>2020</c:v>
                </c:pt>
                <c:pt idx="3">
                  <c:v>2021</c:v>
                </c:pt>
                <c:pt idx="4">
                  <c:v>2022</c:v>
                </c:pt>
              </c:strCache>
            </c:strRef>
          </c:cat>
          <c:val>
            <c:numRef>
              <c:f>Analysis!$E$14:$E$19</c:f>
              <c:numCache>
                <c:formatCode>0.0%</c:formatCode>
                <c:ptCount val="5"/>
                <c:pt idx="0">
                  <c:v>0.19752434123818163</c:v>
                </c:pt>
                <c:pt idx="1">
                  <c:v>0.20632698169485214</c:v>
                </c:pt>
                <c:pt idx="2">
                  <c:v>0.1961238830443385</c:v>
                </c:pt>
                <c:pt idx="3">
                  <c:v>0.20204299849242127</c:v>
                </c:pt>
                <c:pt idx="4">
                  <c:v>0.19798179553020648</c:v>
                </c:pt>
              </c:numCache>
            </c:numRef>
          </c:val>
          <c:extLst>
            <c:ext xmlns:c16="http://schemas.microsoft.com/office/drawing/2014/chart" uri="{C3380CC4-5D6E-409C-BE32-E72D297353CC}">
              <c16:uniqueId val="{00000000-12CC-4369-838D-F5066ED5BA8C}"/>
            </c:ext>
          </c:extLst>
        </c:ser>
        <c:ser>
          <c:idx val="1"/>
          <c:order val="1"/>
          <c:tx>
            <c:strRef>
              <c:f>Analysis!$F$12:$F$13</c:f>
              <c:strCache>
                <c:ptCount val="1"/>
                <c:pt idx="0">
                  <c:v>Marketing</c:v>
                </c:pt>
              </c:strCache>
            </c:strRef>
          </c:tx>
          <c:spPr>
            <a:solidFill>
              <a:schemeClr val="accent2"/>
            </a:solidFill>
            <a:ln>
              <a:noFill/>
            </a:ln>
            <a:effectLst/>
          </c:spPr>
          <c:invertIfNegative val="0"/>
          <c:cat>
            <c:strRef>
              <c:f>Analysis!$D$14:$D$19</c:f>
              <c:strCache>
                <c:ptCount val="5"/>
                <c:pt idx="0">
                  <c:v>2018</c:v>
                </c:pt>
                <c:pt idx="1">
                  <c:v>2019</c:v>
                </c:pt>
                <c:pt idx="2">
                  <c:v>2020</c:v>
                </c:pt>
                <c:pt idx="3">
                  <c:v>2021</c:v>
                </c:pt>
                <c:pt idx="4">
                  <c:v>2022</c:v>
                </c:pt>
              </c:strCache>
            </c:strRef>
          </c:cat>
          <c:val>
            <c:numRef>
              <c:f>Analysis!$F$14:$F$19</c:f>
              <c:numCache>
                <c:formatCode>0.0%</c:formatCode>
                <c:ptCount val="5"/>
                <c:pt idx="0">
                  <c:v>0.20412908237932731</c:v>
                </c:pt>
                <c:pt idx="1">
                  <c:v>0.20720397203339522</c:v>
                </c:pt>
                <c:pt idx="2">
                  <c:v>0.20619899480322679</c:v>
                </c:pt>
                <c:pt idx="3">
                  <c:v>0.197727699167277</c:v>
                </c:pt>
                <c:pt idx="4">
                  <c:v>0.18474025161677368</c:v>
                </c:pt>
              </c:numCache>
            </c:numRef>
          </c:val>
          <c:extLst>
            <c:ext xmlns:c16="http://schemas.microsoft.com/office/drawing/2014/chart" uri="{C3380CC4-5D6E-409C-BE32-E72D297353CC}">
              <c16:uniqueId val="{00000001-12CC-4369-838D-F5066ED5BA8C}"/>
            </c:ext>
          </c:extLst>
        </c:ser>
        <c:ser>
          <c:idx val="2"/>
          <c:order val="2"/>
          <c:tx>
            <c:strRef>
              <c:f>Analysis!$G$12:$G$13</c:f>
              <c:strCache>
                <c:ptCount val="1"/>
                <c:pt idx="0">
                  <c:v>R&amp;D</c:v>
                </c:pt>
              </c:strCache>
            </c:strRef>
          </c:tx>
          <c:spPr>
            <a:solidFill>
              <a:schemeClr val="accent3"/>
            </a:solidFill>
            <a:ln>
              <a:noFill/>
            </a:ln>
            <a:effectLst/>
          </c:spPr>
          <c:invertIfNegative val="0"/>
          <c:cat>
            <c:strRef>
              <c:f>Analysis!$D$14:$D$19</c:f>
              <c:strCache>
                <c:ptCount val="5"/>
                <c:pt idx="0">
                  <c:v>2018</c:v>
                </c:pt>
                <c:pt idx="1">
                  <c:v>2019</c:v>
                </c:pt>
                <c:pt idx="2">
                  <c:v>2020</c:v>
                </c:pt>
                <c:pt idx="3">
                  <c:v>2021</c:v>
                </c:pt>
                <c:pt idx="4">
                  <c:v>2022</c:v>
                </c:pt>
              </c:strCache>
            </c:strRef>
          </c:cat>
          <c:val>
            <c:numRef>
              <c:f>Analysis!$G$14:$G$19</c:f>
              <c:numCache>
                <c:formatCode>0.0%</c:formatCode>
                <c:ptCount val="5"/>
                <c:pt idx="0">
                  <c:v>0.1911077445512219</c:v>
                </c:pt>
                <c:pt idx="1">
                  <c:v>0.19990165800301002</c:v>
                </c:pt>
                <c:pt idx="2">
                  <c:v>0.2077182359425529</c:v>
                </c:pt>
                <c:pt idx="3">
                  <c:v>0.19943459787214815</c:v>
                </c:pt>
                <c:pt idx="4">
                  <c:v>0.20183776363106704</c:v>
                </c:pt>
              </c:numCache>
            </c:numRef>
          </c:val>
          <c:extLst>
            <c:ext xmlns:c16="http://schemas.microsoft.com/office/drawing/2014/chart" uri="{C3380CC4-5D6E-409C-BE32-E72D297353CC}">
              <c16:uniqueId val="{00000002-12CC-4369-838D-F5066ED5BA8C}"/>
            </c:ext>
          </c:extLst>
        </c:ser>
        <c:ser>
          <c:idx val="3"/>
          <c:order val="3"/>
          <c:tx>
            <c:strRef>
              <c:f>Analysis!$H$12:$H$13</c:f>
              <c:strCache>
                <c:ptCount val="1"/>
                <c:pt idx="0">
                  <c:v>Sales</c:v>
                </c:pt>
              </c:strCache>
            </c:strRef>
          </c:tx>
          <c:spPr>
            <a:solidFill>
              <a:schemeClr val="accent4"/>
            </a:solidFill>
            <a:ln>
              <a:noFill/>
            </a:ln>
            <a:effectLst/>
          </c:spPr>
          <c:invertIfNegative val="0"/>
          <c:cat>
            <c:strRef>
              <c:f>Analysis!$D$14:$D$19</c:f>
              <c:strCache>
                <c:ptCount val="5"/>
                <c:pt idx="0">
                  <c:v>2018</c:v>
                </c:pt>
                <c:pt idx="1">
                  <c:v>2019</c:v>
                </c:pt>
                <c:pt idx="2">
                  <c:v>2020</c:v>
                </c:pt>
                <c:pt idx="3">
                  <c:v>2021</c:v>
                </c:pt>
                <c:pt idx="4">
                  <c:v>2022</c:v>
                </c:pt>
              </c:strCache>
            </c:strRef>
          </c:cat>
          <c:val>
            <c:numRef>
              <c:f>Analysis!$H$14:$H$19</c:f>
              <c:numCache>
                <c:formatCode>0.0%</c:formatCode>
                <c:ptCount val="5"/>
                <c:pt idx="0">
                  <c:v>0.20364313542646076</c:v>
                </c:pt>
                <c:pt idx="1">
                  <c:v>0.20084965668800189</c:v>
                </c:pt>
                <c:pt idx="2">
                  <c:v>0.18289687846847141</c:v>
                </c:pt>
                <c:pt idx="3">
                  <c:v>0.20399460271107633</c:v>
                </c:pt>
                <c:pt idx="4">
                  <c:v>0.20861572670598963</c:v>
                </c:pt>
              </c:numCache>
            </c:numRef>
          </c:val>
          <c:extLst>
            <c:ext xmlns:c16="http://schemas.microsoft.com/office/drawing/2014/chart" uri="{C3380CC4-5D6E-409C-BE32-E72D297353CC}">
              <c16:uniqueId val="{00000003-12CC-4369-838D-F5066ED5BA8C}"/>
            </c:ext>
          </c:extLst>
        </c:ser>
        <c:dLbls>
          <c:showLegendKey val="0"/>
          <c:showVal val="0"/>
          <c:showCatName val="0"/>
          <c:showSerName val="0"/>
          <c:showPercent val="0"/>
          <c:showBubbleSize val="0"/>
        </c:dLbls>
        <c:gapWidth val="150"/>
        <c:overlap val="100"/>
        <c:axId val="707179551"/>
        <c:axId val="707178111"/>
      </c:barChart>
      <c:catAx>
        <c:axId val="70717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707178111"/>
        <c:crosses val="autoZero"/>
        <c:auto val="1"/>
        <c:lblAlgn val="ctr"/>
        <c:lblOffset val="100"/>
        <c:noMultiLvlLbl val="0"/>
      </c:catAx>
      <c:valAx>
        <c:axId val="707178111"/>
        <c:scaling>
          <c:orientation val="minMax"/>
        </c:scaling>
        <c:delete val="0"/>
        <c:axPos val="l"/>
        <c:majorGridlines>
          <c:spPr>
            <a:ln w="9525" cap="flat" cmpd="sng" algn="ctr">
              <a:solidFill>
                <a:schemeClr val="bg1">
                  <a:lumMod val="85000"/>
                  <a:alpha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70717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[finance_project.xlsx]Analysis!PivotTable27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ROA Vs ROE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Analysis!$B$23</c:f>
              <c:strCache>
                <c:ptCount val="1"/>
                <c:pt idx="0">
                  <c:v>ROA</c:v>
                </c:pt>
              </c:strCache>
            </c:strRef>
          </c:tx>
          <c:spPr>
            <a:ln w="28575" cap="rnd">
              <a:solidFill>
                <a:schemeClr val="accent1"/>
              </a:solidFill>
              <a:round/>
            </a:ln>
            <a:effectLst/>
          </c:spPr>
          <c:marker>
            <c:symbol val="none"/>
          </c:marker>
          <c:cat>
            <c:strRef>
              <c:f>Analysis!$A$24:$A$29</c:f>
              <c:strCache>
                <c:ptCount val="5"/>
                <c:pt idx="0">
                  <c:v>2018</c:v>
                </c:pt>
                <c:pt idx="1">
                  <c:v>2019</c:v>
                </c:pt>
                <c:pt idx="2">
                  <c:v>2020</c:v>
                </c:pt>
                <c:pt idx="3">
                  <c:v>2021</c:v>
                </c:pt>
                <c:pt idx="4">
                  <c:v>2022</c:v>
                </c:pt>
              </c:strCache>
            </c:strRef>
          </c:cat>
          <c:val>
            <c:numRef>
              <c:f>Analysis!$B$24:$B$29</c:f>
              <c:numCache>
                <c:formatCode>0.00</c:formatCode>
                <c:ptCount val="5"/>
                <c:pt idx="0">
                  <c:v>4.5746720194029256E-2</c:v>
                </c:pt>
                <c:pt idx="1">
                  <c:v>3.5306984836917341E-2</c:v>
                </c:pt>
                <c:pt idx="2">
                  <c:v>4.896199488195873E-2</c:v>
                </c:pt>
                <c:pt idx="3">
                  <c:v>4.5953874035274914E-2</c:v>
                </c:pt>
                <c:pt idx="4">
                  <c:v>4.9834231085940102E-2</c:v>
                </c:pt>
              </c:numCache>
            </c:numRef>
          </c:val>
          <c:smooth val="1"/>
          <c:extLst>
            <c:ext xmlns:c16="http://schemas.microsoft.com/office/drawing/2014/chart" uri="{C3380CC4-5D6E-409C-BE32-E72D297353CC}">
              <c16:uniqueId val="{00000000-029C-49BD-81FC-3A290DFFE0C6}"/>
            </c:ext>
          </c:extLst>
        </c:ser>
        <c:ser>
          <c:idx val="1"/>
          <c:order val="1"/>
          <c:tx>
            <c:strRef>
              <c:f>Analysis!$C$23</c:f>
              <c:strCache>
                <c:ptCount val="1"/>
                <c:pt idx="0">
                  <c:v>ROE</c:v>
                </c:pt>
              </c:strCache>
            </c:strRef>
          </c:tx>
          <c:spPr>
            <a:ln w="28575" cap="rnd">
              <a:solidFill>
                <a:schemeClr val="accent2"/>
              </a:solidFill>
              <a:round/>
            </a:ln>
            <a:effectLst/>
          </c:spPr>
          <c:marker>
            <c:symbol val="none"/>
          </c:marker>
          <c:cat>
            <c:strRef>
              <c:f>Analysis!$A$24:$A$29</c:f>
              <c:strCache>
                <c:ptCount val="5"/>
                <c:pt idx="0">
                  <c:v>2018</c:v>
                </c:pt>
                <c:pt idx="1">
                  <c:v>2019</c:v>
                </c:pt>
                <c:pt idx="2">
                  <c:v>2020</c:v>
                </c:pt>
                <c:pt idx="3">
                  <c:v>2021</c:v>
                </c:pt>
                <c:pt idx="4">
                  <c:v>2022</c:v>
                </c:pt>
              </c:strCache>
            </c:strRef>
          </c:cat>
          <c:val>
            <c:numRef>
              <c:f>Analysis!$C$24:$C$29</c:f>
              <c:numCache>
                <c:formatCode>0.00</c:formatCode>
                <c:ptCount val="5"/>
                <c:pt idx="0">
                  <c:v>0.1536915387988638</c:v>
                </c:pt>
                <c:pt idx="1">
                  <c:v>0.22693865799408761</c:v>
                </c:pt>
                <c:pt idx="2">
                  <c:v>0.19736414962216911</c:v>
                </c:pt>
                <c:pt idx="3">
                  <c:v>0.19634410779082642</c:v>
                </c:pt>
                <c:pt idx="4">
                  <c:v>0.19825053284587615</c:v>
                </c:pt>
              </c:numCache>
            </c:numRef>
          </c:val>
          <c:smooth val="1"/>
          <c:extLst>
            <c:ext xmlns:c16="http://schemas.microsoft.com/office/drawing/2014/chart" uri="{C3380CC4-5D6E-409C-BE32-E72D297353CC}">
              <c16:uniqueId val="{00000001-029C-49BD-81FC-3A290DFFE0C6}"/>
            </c:ext>
          </c:extLst>
        </c:ser>
        <c:dLbls>
          <c:showLegendKey val="0"/>
          <c:showVal val="0"/>
          <c:showCatName val="0"/>
          <c:showSerName val="0"/>
          <c:showPercent val="0"/>
          <c:showBubbleSize val="0"/>
        </c:dLbls>
        <c:smooth val="0"/>
        <c:axId val="701057927"/>
        <c:axId val="701060447"/>
      </c:lineChart>
      <c:catAx>
        <c:axId val="701057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701060447"/>
        <c:crosses val="autoZero"/>
        <c:auto val="1"/>
        <c:lblAlgn val="ctr"/>
        <c:lblOffset val="100"/>
        <c:noMultiLvlLbl val="0"/>
      </c:catAx>
      <c:valAx>
        <c:axId val="701060447"/>
        <c:scaling>
          <c:orientation val="minMax"/>
        </c:scaling>
        <c:delete val="0"/>
        <c:axPos val="l"/>
        <c:majorGridlines>
          <c:spPr>
            <a:ln w="9525" cap="flat" cmpd="sng" algn="ctr">
              <a:solidFill>
                <a:schemeClr val="bg1">
                  <a:lumMod val="85000"/>
                  <a:alpha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701057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[finance_project.xlsx]Analysis!PivotTable28</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Revenue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Analysis!$F$23</c:f>
              <c:strCache>
                <c:ptCount val="1"/>
                <c:pt idx="0">
                  <c:v>Net_Profit</c:v>
                </c:pt>
              </c:strCache>
            </c:strRef>
          </c:tx>
          <c:spPr>
            <a:ln w="28575" cap="rnd">
              <a:solidFill>
                <a:schemeClr val="accent1"/>
              </a:solidFill>
              <a:round/>
            </a:ln>
            <a:effectLst/>
          </c:spPr>
          <c:marker>
            <c:symbol val="none"/>
          </c:marker>
          <c:cat>
            <c:strRef>
              <c:f>Analysis!$E$24:$E$29</c:f>
              <c:strCache>
                <c:ptCount val="5"/>
                <c:pt idx="0">
                  <c:v>2018</c:v>
                </c:pt>
                <c:pt idx="1">
                  <c:v>2019</c:v>
                </c:pt>
                <c:pt idx="2">
                  <c:v>2020</c:v>
                </c:pt>
                <c:pt idx="3">
                  <c:v>2021</c:v>
                </c:pt>
                <c:pt idx="4">
                  <c:v>2022</c:v>
                </c:pt>
              </c:strCache>
            </c:strRef>
          </c:cat>
          <c:val>
            <c:numRef>
              <c:f>Analysis!$F$24:$F$29</c:f>
              <c:numCache>
                <c:formatCode>_-[$$-409]* #,##0.0_ ;_-[$$-409]* \-#,##0.0\ ;_-[$$-409]* "-"??_ ;_-@_ </c:formatCode>
                <c:ptCount val="5"/>
                <c:pt idx="0">
                  <c:v>5312157</c:v>
                </c:pt>
                <c:pt idx="1">
                  <c:v>3917431</c:v>
                </c:pt>
                <c:pt idx="2">
                  <c:v>5739834</c:v>
                </c:pt>
                <c:pt idx="3">
                  <c:v>5326238</c:v>
                </c:pt>
                <c:pt idx="4">
                  <c:v>5947469</c:v>
                </c:pt>
              </c:numCache>
            </c:numRef>
          </c:val>
          <c:smooth val="1"/>
          <c:extLst>
            <c:ext xmlns:c16="http://schemas.microsoft.com/office/drawing/2014/chart" uri="{C3380CC4-5D6E-409C-BE32-E72D297353CC}">
              <c16:uniqueId val="{00000000-057E-4D20-84BB-F9D51EF0C5AC}"/>
            </c:ext>
          </c:extLst>
        </c:ser>
        <c:ser>
          <c:idx val="1"/>
          <c:order val="1"/>
          <c:tx>
            <c:strRef>
              <c:f>Analysis!$G$23</c:f>
              <c:strCache>
                <c:ptCount val="1"/>
                <c:pt idx="0">
                  <c:v>Revenue</c:v>
                </c:pt>
              </c:strCache>
            </c:strRef>
          </c:tx>
          <c:spPr>
            <a:ln w="28575" cap="rnd">
              <a:solidFill>
                <a:schemeClr val="accent2"/>
              </a:solidFill>
              <a:round/>
            </a:ln>
            <a:effectLst/>
          </c:spPr>
          <c:marker>
            <c:symbol val="none"/>
          </c:marker>
          <c:cat>
            <c:strRef>
              <c:f>Analysis!$E$24:$E$29</c:f>
              <c:strCache>
                <c:ptCount val="5"/>
                <c:pt idx="0">
                  <c:v>2018</c:v>
                </c:pt>
                <c:pt idx="1">
                  <c:v>2019</c:v>
                </c:pt>
                <c:pt idx="2">
                  <c:v>2020</c:v>
                </c:pt>
                <c:pt idx="3">
                  <c:v>2021</c:v>
                </c:pt>
                <c:pt idx="4">
                  <c:v>2022</c:v>
                </c:pt>
              </c:strCache>
            </c:strRef>
          </c:cat>
          <c:val>
            <c:numRef>
              <c:f>Analysis!$G$24:$G$29</c:f>
              <c:numCache>
                <c:formatCode>_-[$$-409]* #,##0.0_ ;_-[$$-409]* \-#,##0.0\ ;_-[$$-409]* "-"??_ ;_-@_ </c:formatCode>
                <c:ptCount val="5"/>
                <c:pt idx="0">
                  <c:v>28553322</c:v>
                </c:pt>
                <c:pt idx="1">
                  <c:v>27541789</c:v>
                </c:pt>
                <c:pt idx="2">
                  <c:v>28829880</c:v>
                </c:pt>
                <c:pt idx="3">
                  <c:v>28619708</c:v>
                </c:pt>
                <c:pt idx="4">
                  <c:v>29082259</c:v>
                </c:pt>
              </c:numCache>
            </c:numRef>
          </c:val>
          <c:smooth val="1"/>
          <c:extLst>
            <c:ext xmlns:c16="http://schemas.microsoft.com/office/drawing/2014/chart" uri="{C3380CC4-5D6E-409C-BE32-E72D297353CC}">
              <c16:uniqueId val="{00000001-057E-4D20-84BB-F9D51EF0C5AC}"/>
            </c:ext>
          </c:extLst>
        </c:ser>
        <c:dLbls>
          <c:showLegendKey val="0"/>
          <c:showVal val="0"/>
          <c:showCatName val="0"/>
          <c:showSerName val="0"/>
          <c:showPercent val="0"/>
          <c:showBubbleSize val="0"/>
        </c:dLbls>
        <c:smooth val="0"/>
        <c:axId val="704742799"/>
        <c:axId val="704743159"/>
      </c:lineChart>
      <c:catAx>
        <c:axId val="70474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704743159"/>
        <c:crosses val="autoZero"/>
        <c:auto val="1"/>
        <c:lblAlgn val="ctr"/>
        <c:lblOffset val="100"/>
        <c:noMultiLvlLbl val="0"/>
      </c:catAx>
      <c:valAx>
        <c:axId val="704743159"/>
        <c:scaling>
          <c:orientation val="minMax"/>
        </c:scaling>
        <c:delete val="0"/>
        <c:axPos val="l"/>
        <c:majorGridlines>
          <c:spPr>
            <a:ln w="9525" cap="flat" cmpd="sng" algn="ctr">
              <a:solidFill>
                <a:schemeClr val="bg1">
                  <a:lumMod val="85000"/>
                  <a:alpha val="50000"/>
                </a:schemeClr>
              </a:solidFill>
              <a:round/>
            </a:ln>
            <a:effectLst/>
          </c:spPr>
        </c:majorGridlines>
        <c:numFmt formatCode="_-[$$-409]* #,##0.0_ ;_-[$$-409]* \-#,##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704742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Forecast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NG"/>
        </a:p>
      </c:txPr>
    </c:title>
    <c:autoTitleDeleted val="0"/>
    <c:plotArea>
      <c:layout/>
      <c:lineChart>
        <c:grouping val="standard"/>
        <c:varyColors val="0"/>
        <c:ser>
          <c:idx val="0"/>
          <c:order val="0"/>
          <c:tx>
            <c:strRef>
              <c:f>'Forecast Analysis'!$B$1</c:f>
              <c:strCache>
                <c:ptCount val="1"/>
                <c:pt idx="0">
                  <c:v>Revenue</c:v>
                </c:pt>
              </c:strCache>
            </c:strRef>
          </c:tx>
          <c:spPr>
            <a:ln w="28575" cap="rnd">
              <a:solidFill>
                <a:schemeClr val="accent1"/>
              </a:solidFill>
              <a:round/>
            </a:ln>
            <a:effectLst/>
          </c:spPr>
          <c:marker>
            <c:symbol val="none"/>
          </c:marker>
          <c:val>
            <c:numRef>
              <c:f>'Forecast Analysis'!$B$2:$B$85</c:f>
              <c:numCache>
                <c:formatCode>General</c:formatCode>
                <c:ptCount val="84"/>
                <c:pt idx="0">
                  <c:v>145760.5</c:v>
                </c:pt>
                <c:pt idx="1">
                  <c:v>144856.1875</c:v>
                </c:pt>
                <c:pt idx="2">
                  <c:v>151007.375</c:v>
                </c:pt>
                <c:pt idx="3">
                  <c:v>145354.1875</c:v>
                </c:pt>
                <c:pt idx="4">
                  <c:v>148541.875</c:v>
                </c:pt>
                <c:pt idx="5">
                  <c:v>161393.6875</c:v>
                </c:pt>
                <c:pt idx="6">
                  <c:v>144529.9375</c:v>
                </c:pt>
                <c:pt idx="7">
                  <c:v>156329.1875</c:v>
                </c:pt>
                <c:pt idx="8">
                  <c:v>155779.375</c:v>
                </c:pt>
                <c:pt idx="9">
                  <c:v>140108</c:v>
                </c:pt>
                <c:pt idx="10">
                  <c:v>145283.875</c:v>
                </c:pt>
                <c:pt idx="11">
                  <c:v>145638.4375</c:v>
                </c:pt>
                <c:pt idx="12">
                  <c:v>139543.8125</c:v>
                </c:pt>
                <c:pt idx="13">
                  <c:v>146159.0625</c:v>
                </c:pt>
                <c:pt idx="14">
                  <c:v>121933.1875</c:v>
                </c:pt>
                <c:pt idx="15">
                  <c:v>139917</c:v>
                </c:pt>
                <c:pt idx="16">
                  <c:v>142483.8125</c:v>
                </c:pt>
                <c:pt idx="17">
                  <c:v>151618.3125</c:v>
                </c:pt>
                <c:pt idx="18">
                  <c:v>158090.25</c:v>
                </c:pt>
                <c:pt idx="19">
                  <c:v>144944.75</c:v>
                </c:pt>
                <c:pt idx="20">
                  <c:v>145511.6875</c:v>
                </c:pt>
                <c:pt idx="21">
                  <c:v>134347.375</c:v>
                </c:pt>
                <c:pt idx="22">
                  <c:v>144222.5625</c:v>
                </c:pt>
                <c:pt idx="23">
                  <c:v>152590</c:v>
                </c:pt>
                <c:pt idx="24">
                  <c:v>141953.5625</c:v>
                </c:pt>
                <c:pt idx="25">
                  <c:v>135795.5</c:v>
                </c:pt>
                <c:pt idx="26">
                  <c:v>161840.8125</c:v>
                </c:pt>
                <c:pt idx="27">
                  <c:v>156126.8125</c:v>
                </c:pt>
                <c:pt idx="28">
                  <c:v>151692.375</c:v>
                </c:pt>
                <c:pt idx="29">
                  <c:v>144948.4375</c:v>
                </c:pt>
                <c:pt idx="30">
                  <c:v>156093.75</c:v>
                </c:pt>
                <c:pt idx="31">
                  <c:v>152779.3125</c:v>
                </c:pt>
                <c:pt idx="32">
                  <c:v>153072.5625</c:v>
                </c:pt>
                <c:pt idx="33">
                  <c:v>150138.125</c:v>
                </c:pt>
                <c:pt idx="34">
                  <c:v>149644.0625</c:v>
                </c:pt>
                <c:pt idx="35">
                  <c:v>147782.1875</c:v>
                </c:pt>
                <c:pt idx="36">
                  <c:v>146331.375</c:v>
                </c:pt>
                <c:pt idx="37">
                  <c:v>147644</c:v>
                </c:pt>
                <c:pt idx="38">
                  <c:v>133731.875</c:v>
                </c:pt>
                <c:pt idx="39">
                  <c:v>153380.5</c:v>
                </c:pt>
                <c:pt idx="40">
                  <c:v>141036.5625</c:v>
                </c:pt>
                <c:pt idx="41">
                  <c:v>147036.25</c:v>
                </c:pt>
                <c:pt idx="42">
                  <c:v>145631.375</c:v>
                </c:pt>
                <c:pt idx="43">
                  <c:v>160043.25</c:v>
                </c:pt>
                <c:pt idx="44">
                  <c:v>151777.4375</c:v>
                </c:pt>
                <c:pt idx="45">
                  <c:v>150023.875</c:v>
                </c:pt>
                <c:pt idx="46">
                  <c:v>162178.625</c:v>
                </c:pt>
                <c:pt idx="47">
                  <c:v>149916.625</c:v>
                </c:pt>
                <c:pt idx="48">
                  <c:v>149738.3125</c:v>
                </c:pt>
                <c:pt idx="49">
                  <c:v>146698</c:v>
                </c:pt>
                <c:pt idx="50">
                  <c:v>148689.1875</c:v>
                </c:pt>
                <c:pt idx="51">
                  <c:v>154685.8125</c:v>
                </c:pt>
                <c:pt idx="52">
                  <c:v>155831.5</c:v>
                </c:pt>
                <c:pt idx="53">
                  <c:v>152948.375</c:v>
                </c:pt>
                <c:pt idx="54">
                  <c:v>158976.75</c:v>
                </c:pt>
                <c:pt idx="55">
                  <c:v>147296.125</c:v>
                </c:pt>
                <c:pt idx="56">
                  <c:v>152039.375</c:v>
                </c:pt>
                <c:pt idx="57">
                  <c:v>141524.9375</c:v>
                </c:pt>
                <c:pt idx="58">
                  <c:v>158085</c:v>
                </c:pt>
                <c:pt idx="59">
                  <c:v>151127.8125</c:v>
                </c:pt>
              </c:numCache>
            </c:numRef>
          </c:val>
          <c:smooth val="0"/>
          <c:extLst>
            <c:ext xmlns:c16="http://schemas.microsoft.com/office/drawing/2014/chart" uri="{C3380CC4-5D6E-409C-BE32-E72D297353CC}">
              <c16:uniqueId val="{00000000-506E-483D-80EB-9B6BBD5B8855}"/>
            </c:ext>
          </c:extLst>
        </c:ser>
        <c:ser>
          <c:idx val="1"/>
          <c:order val="1"/>
          <c:tx>
            <c:strRef>
              <c:f>'Forecast Analysis'!$C$1</c:f>
              <c:strCache>
                <c:ptCount val="1"/>
                <c:pt idx="0">
                  <c:v>Forecast(Revenue)</c:v>
                </c:pt>
              </c:strCache>
            </c:strRef>
          </c:tx>
          <c:spPr>
            <a:ln w="25400" cap="rnd">
              <a:solidFill>
                <a:schemeClr val="accent2"/>
              </a:solidFill>
              <a:round/>
            </a:ln>
            <a:effectLst/>
          </c:spPr>
          <c:marker>
            <c:symbol val="none"/>
          </c:marker>
          <c:cat>
            <c:numRef>
              <c:f>'Forecast Analysis'!$A$2:$A$85</c:f>
              <c:numCache>
                <c:formatCode>m/d/yyyy</c:formatCode>
                <c:ptCount val="84"/>
                <c:pt idx="0">
                  <c:v>43131</c:v>
                </c:pt>
                <c:pt idx="1">
                  <c:v>43159</c:v>
                </c:pt>
                <c:pt idx="2">
                  <c:v>43190</c:v>
                </c:pt>
                <c:pt idx="3">
                  <c:v>43220</c:v>
                </c:pt>
                <c:pt idx="4">
                  <c:v>43251</c:v>
                </c:pt>
                <c:pt idx="5">
                  <c:v>43281</c:v>
                </c:pt>
                <c:pt idx="6">
                  <c:v>43312</c:v>
                </c:pt>
                <c:pt idx="7">
                  <c:v>43343</c:v>
                </c:pt>
                <c:pt idx="8">
                  <c:v>43373</c:v>
                </c:pt>
                <c:pt idx="9">
                  <c:v>43404</c:v>
                </c:pt>
                <c:pt idx="10">
                  <c:v>43434</c:v>
                </c:pt>
                <c:pt idx="11">
                  <c:v>43465</c:v>
                </c:pt>
                <c:pt idx="12">
                  <c:v>43496</c:v>
                </c:pt>
                <c:pt idx="13">
                  <c:v>43524</c:v>
                </c:pt>
                <c:pt idx="14">
                  <c:v>43555</c:v>
                </c:pt>
                <c:pt idx="15">
                  <c:v>43585</c:v>
                </c:pt>
                <c:pt idx="16">
                  <c:v>43616</c:v>
                </c:pt>
                <c:pt idx="17">
                  <c:v>43646</c:v>
                </c:pt>
                <c:pt idx="18">
                  <c:v>43677</c:v>
                </c:pt>
                <c:pt idx="19">
                  <c:v>43708</c:v>
                </c:pt>
                <c:pt idx="20">
                  <c:v>43738</c:v>
                </c:pt>
                <c:pt idx="21">
                  <c:v>43769</c:v>
                </c:pt>
                <c:pt idx="22">
                  <c:v>43799</c:v>
                </c:pt>
                <c:pt idx="23">
                  <c:v>43830</c:v>
                </c:pt>
                <c:pt idx="24">
                  <c:v>43861</c:v>
                </c:pt>
                <c:pt idx="25">
                  <c:v>43890</c:v>
                </c:pt>
                <c:pt idx="26">
                  <c:v>43921</c:v>
                </c:pt>
                <c:pt idx="27">
                  <c:v>43951</c:v>
                </c:pt>
                <c:pt idx="28">
                  <c:v>43982</c:v>
                </c:pt>
                <c:pt idx="29">
                  <c:v>44012</c:v>
                </c:pt>
                <c:pt idx="30">
                  <c:v>44043</c:v>
                </c:pt>
                <c:pt idx="31">
                  <c:v>44074</c:v>
                </c:pt>
                <c:pt idx="32">
                  <c:v>44104</c:v>
                </c:pt>
                <c:pt idx="33">
                  <c:v>44135</c:v>
                </c:pt>
                <c:pt idx="34">
                  <c:v>44165</c:v>
                </c:pt>
                <c:pt idx="35">
                  <c:v>44196</c:v>
                </c:pt>
                <c:pt idx="36">
                  <c:v>44227</c:v>
                </c:pt>
                <c:pt idx="37">
                  <c:v>44255</c:v>
                </c:pt>
                <c:pt idx="38">
                  <c:v>44286</c:v>
                </c:pt>
                <c:pt idx="39">
                  <c:v>44316</c:v>
                </c:pt>
                <c:pt idx="40">
                  <c:v>44347</c:v>
                </c:pt>
                <c:pt idx="41">
                  <c:v>44377</c:v>
                </c:pt>
                <c:pt idx="42">
                  <c:v>44408</c:v>
                </c:pt>
                <c:pt idx="43">
                  <c:v>44439</c:v>
                </c:pt>
                <c:pt idx="44">
                  <c:v>44469</c:v>
                </c:pt>
                <c:pt idx="45">
                  <c:v>44500</c:v>
                </c:pt>
                <c:pt idx="46">
                  <c:v>44530</c:v>
                </c:pt>
                <c:pt idx="47">
                  <c:v>44561</c:v>
                </c:pt>
                <c:pt idx="48">
                  <c:v>44592</c:v>
                </c:pt>
                <c:pt idx="49">
                  <c:v>44620</c:v>
                </c:pt>
                <c:pt idx="50">
                  <c:v>44651</c:v>
                </c:pt>
                <c:pt idx="51">
                  <c:v>44681</c:v>
                </c:pt>
                <c:pt idx="52">
                  <c:v>44712</c:v>
                </c:pt>
                <c:pt idx="53">
                  <c:v>44742</c:v>
                </c:pt>
                <c:pt idx="54">
                  <c:v>44773</c:v>
                </c:pt>
                <c:pt idx="55">
                  <c:v>44804</c:v>
                </c:pt>
                <c:pt idx="56">
                  <c:v>44834</c:v>
                </c:pt>
                <c:pt idx="57">
                  <c:v>44865</c:v>
                </c:pt>
                <c:pt idx="58">
                  <c:v>44895</c:v>
                </c:pt>
                <c:pt idx="59">
                  <c:v>44926</c:v>
                </c:pt>
                <c:pt idx="60">
                  <c:v>44957</c:v>
                </c:pt>
                <c:pt idx="61">
                  <c:v>44988</c:v>
                </c:pt>
                <c:pt idx="62">
                  <c:v>45016</c:v>
                </c:pt>
                <c:pt idx="63">
                  <c:v>45047</c:v>
                </c:pt>
                <c:pt idx="64">
                  <c:v>45077</c:v>
                </c:pt>
                <c:pt idx="65">
                  <c:v>45108</c:v>
                </c:pt>
                <c:pt idx="66">
                  <c:v>45138</c:v>
                </c:pt>
                <c:pt idx="67">
                  <c:v>45169</c:v>
                </c:pt>
                <c:pt idx="68">
                  <c:v>45200</c:v>
                </c:pt>
                <c:pt idx="69">
                  <c:v>45230</c:v>
                </c:pt>
                <c:pt idx="70">
                  <c:v>45261</c:v>
                </c:pt>
                <c:pt idx="71">
                  <c:v>45291</c:v>
                </c:pt>
                <c:pt idx="72">
                  <c:v>45322</c:v>
                </c:pt>
                <c:pt idx="73">
                  <c:v>45353</c:v>
                </c:pt>
                <c:pt idx="74">
                  <c:v>45382</c:v>
                </c:pt>
                <c:pt idx="75">
                  <c:v>45413</c:v>
                </c:pt>
                <c:pt idx="76">
                  <c:v>45443</c:v>
                </c:pt>
                <c:pt idx="77">
                  <c:v>45474</c:v>
                </c:pt>
                <c:pt idx="78">
                  <c:v>45504</c:v>
                </c:pt>
                <c:pt idx="79">
                  <c:v>45535</c:v>
                </c:pt>
                <c:pt idx="80">
                  <c:v>45566</c:v>
                </c:pt>
                <c:pt idx="81">
                  <c:v>45596</c:v>
                </c:pt>
                <c:pt idx="82">
                  <c:v>45627</c:v>
                </c:pt>
                <c:pt idx="83">
                  <c:v>45657</c:v>
                </c:pt>
              </c:numCache>
            </c:numRef>
          </c:cat>
          <c:val>
            <c:numRef>
              <c:f>'Forecast Analysis'!$C$2:$C$85</c:f>
              <c:numCache>
                <c:formatCode>General</c:formatCode>
                <c:ptCount val="84"/>
                <c:pt idx="59">
                  <c:v>151127.8125</c:v>
                </c:pt>
                <c:pt idx="60">
                  <c:v>146877.85466079568</c:v>
                </c:pt>
                <c:pt idx="61">
                  <c:v>147445.80702237101</c:v>
                </c:pt>
                <c:pt idx="62">
                  <c:v>143463.80202626143</c:v>
                </c:pt>
                <c:pt idx="63">
                  <c:v>153911.72291744442</c:v>
                </c:pt>
                <c:pt idx="64">
                  <c:v>148831.5048410882</c:v>
                </c:pt>
                <c:pt idx="65">
                  <c:v>157809.63972046427</c:v>
                </c:pt>
                <c:pt idx="66">
                  <c:v>157985.84078976233</c:v>
                </c:pt>
                <c:pt idx="67">
                  <c:v>156460.88540760518</c:v>
                </c:pt>
                <c:pt idx="68">
                  <c:v>156497.46649096583</c:v>
                </c:pt>
                <c:pt idx="69">
                  <c:v>146334.85984626596</c:v>
                </c:pt>
                <c:pt idx="70">
                  <c:v>151192.40711591314</c:v>
                </c:pt>
                <c:pt idx="71">
                  <c:v>153699.92596937268</c:v>
                </c:pt>
                <c:pt idx="72">
                  <c:v>147687.5608204873</c:v>
                </c:pt>
                <c:pt idx="73">
                  <c:v>148255.51318206263</c:v>
                </c:pt>
                <c:pt idx="74">
                  <c:v>144273.50818595305</c:v>
                </c:pt>
                <c:pt idx="75">
                  <c:v>154721.42907713607</c:v>
                </c:pt>
                <c:pt idx="76">
                  <c:v>149641.21100077985</c:v>
                </c:pt>
                <c:pt idx="77">
                  <c:v>158619.34588015592</c:v>
                </c:pt>
                <c:pt idx="78">
                  <c:v>158795.54694945397</c:v>
                </c:pt>
                <c:pt idx="79">
                  <c:v>157270.5915672968</c:v>
                </c:pt>
                <c:pt idx="80">
                  <c:v>157307.17265065745</c:v>
                </c:pt>
                <c:pt idx="81">
                  <c:v>147144.56600595757</c:v>
                </c:pt>
                <c:pt idx="82">
                  <c:v>152002.11327560476</c:v>
                </c:pt>
                <c:pt idx="83">
                  <c:v>154509.63212906432</c:v>
                </c:pt>
              </c:numCache>
            </c:numRef>
          </c:val>
          <c:smooth val="0"/>
          <c:extLst>
            <c:ext xmlns:c16="http://schemas.microsoft.com/office/drawing/2014/chart" uri="{C3380CC4-5D6E-409C-BE32-E72D297353CC}">
              <c16:uniqueId val="{00000001-506E-483D-80EB-9B6BBD5B8855}"/>
            </c:ext>
          </c:extLst>
        </c:ser>
        <c:ser>
          <c:idx val="2"/>
          <c:order val="2"/>
          <c:tx>
            <c:strRef>
              <c:f>'Forecast Analysis'!$D$1</c:f>
              <c:strCache>
                <c:ptCount val="1"/>
                <c:pt idx="0">
                  <c:v>Lower Confidence Bound(Revenue)</c:v>
                </c:pt>
              </c:strCache>
            </c:strRef>
          </c:tx>
          <c:spPr>
            <a:ln w="12700" cap="rnd">
              <a:solidFill>
                <a:srgbClr val="C0504D"/>
              </a:solidFill>
              <a:prstDash val="solid"/>
              <a:round/>
            </a:ln>
            <a:effectLst/>
          </c:spPr>
          <c:marker>
            <c:symbol val="none"/>
          </c:marker>
          <c:cat>
            <c:numRef>
              <c:f>'Forecast Analysis'!$A$2:$A$85</c:f>
              <c:numCache>
                <c:formatCode>m/d/yyyy</c:formatCode>
                <c:ptCount val="84"/>
                <c:pt idx="0">
                  <c:v>43131</c:v>
                </c:pt>
                <c:pt idx="1">
                  <c:v>43159</c:v>
                </c:pt>
                <c:pt idx="2">
                  <c:v>43190</c:v>
                </c:pt>
                <c:pt idx="3">
                  <c:v>43220</c:v>
                </c:pt>
                <c:pt idx="4">
                  <c:v>43251</c:v>
                </c:pt>
                <c:pt idx="5">
                  <c:v>43281</c:v>
                </c:pt>
                <c:pt idx="6">
                  <c:v>43312</c:v>
                </c:pt>
                <c:pt idx="7">
                  <c:v>43343</c:v>
                </c:pt>
                <c:pt idx="8">
                  <c:v>43373</c:v>
                </c:pt>
                <c:pt idx="9">
                  <c:v>43404</c:v>
                </c:pt>
                <c:pt idx="10">
                  <c:v>43434</c:v>
                </c:pt>
                <c:pt idx="11">
                  <c:v>43465</c:v>
                </c:pt>
                <c:pt idx="12">
                  <c:v>43496</c:v>
                </c:pt>
                <c:pt idx="13">
                  <c:v>43524</c:v>
                </c:pt>
                <c:pt idx="14">
                  <c:v>43555</c:v>
                </c:pt>
                <c:pt idx="15">
                  <c:v>43585</c:v>
                </c:pt>
                <c:pt idx="16">
                  <c:v>43616</c:v>
                </c:pt>
                <c:pt idx="17">
                  <c:v>43646</c:v>
                </c:pt>
                <c:pt idx="18">
                  <c:v>43677</c:v>
                </c:pt>
                <c:pt idx="19">
                  <c:v>43708</c:v>
                </c:pt>
                <c:pt idx="20">
                  <c:v>43738</c:v>
                </c:pt>
                <c:pt idx="21">
                  <c:v>43769</c:v>
                </c:pt>
                <c:pt idx="22">
                  <c:v>43799</c:v>
                </c:pt>
                <c:pt idx="23">
                  <c:v>43830</c:v>
                </c:pt>
                <c:pt idx="24">
                  <c:v>43861</c:v>
                </c:pt>
                <c:pt idx="25">
                  <c:v>43890</c:v>
                </c:pt>
                <c:pt idx="26">
                  <c:v>43921</c:v>
                </c:pt>
                <c:pt idx="27">
                  <c:v>43951</c:v>
                </c:pt>
                <c:pt idx="28">
                  <c:v>43982</c:v>
                </c:pt>
                <c:pt idx="29">
                  <c:v>44012</c:v>
                </c:pt>
                <c:pt idx="30">
                  <c:v>44043</c:v>
                </c:pt>
                <c:pt idx="31">
                  <c:v>44074</c:v>
                </c:pt>
                <c:pt idx="32">
                  <c:v>44104</c:v>
                </c:pt>
                <c:pt idx="33">
                  <c:v>44135</c:v>
                </c:pt>
                <c:pt idx="34">
                  <c:v>44165</c:v>
                </c:pt>
                <c:pt idx="35">
                  <c:v>44196</c:v>
                </c:pt>
                <c:pt idx="36">
                  <c:v>44227</c:v>
                </c:pt>
                <c:pt idx="37">
                  <c:v>44255</c:v>
                </c:pt>
                <c:pt idx="38">
                  <c:v>44286</c:v>
                </c:pt>
                <c:pt idx="39">
                  <c:v>44316</c:v>
                </c:pt>
                <c:pt idx="40">
                  <c:v>44347</c:v>
                </c:pt>
                <c:pt idx="41">
                  <c:v>44377</c:v>
                </c:pt>
                <c:pt idx="42">
                  <c:v>44408</c:v>
                </c:pt>
                <c:pt idx="43">
                  <c:v>44439</c:v>
                </c:pt>
                <c:pt idx="44">
                  <c:v>44469</c:v>
                </c:pt>
                <c:pt idx="45">
                  <c:v>44500</c:v>
                </c:pt>
                <c:pt idx="46">
                  <c:v>44530</c:v>
                </c:pt>
                <c:pt idx="47">
                  <c:v>44561</c:v>
                </c:pt>
                <c:pt idx="48">
                  <c:v>44592</c:v>
                </c:pt>
                <c:pt idx="49">
                  <c:v>44620</c:v>
                </c:pt>
                <c:pt idx="50">
                  <c:v>44651</c:v>
                </c:pt>
                <c:pt idx="51">
                  <c:v>44681</c:v>
                </c:pt>
                <c:pt idx="52">
                  <c:v>44712</c:v>
                </c:pt>
                <c:pt idx="53">
                  <c:v>44742</c:v>
                </c:pt>
                <c:pt idx="54">
                  <c:v>44773</c:v>
                </c:pt>
                <c:pt idx="55">
                  <c:v>44804</c:v>
                </c:pt>
                <c:pt idx="56">
                  <c:v>44834</c:v>
                </c:pt>
                <c:pt idx="57">
                  <c:v>44865</c:v>
                </c:pt>
                <c:pt idx="58">
                  <c:v>44895</c:v>
                </c:pt>
                <c:pt idx="59">
                  <c:v>44926</c:v>
                </c:pt>
                <c:pt idx="60">
                  <c:v>44957</c:v>
                </c:pt>
                <c:pt idx="61">
                  <c:v>44988</c:v>
                </c:pt>
                <c:pt idx="62">
                  <c:v>45016</c:v>
                </c:pt>
                <c:pt idx="63">
                  <c:v>45047</c:v>
                </c:pt>
                <c:pt idx="64">
                  <c:v>45077</c:v>
                </c:pt>
                <c:pt idx="65">
                  <c:v>45108</c:v>
                </c:pt>
                <c:pt idx="66">
                  <c:v>45138</c:v>
                </c:pt>
                <c:pt idx="67">
                  <c:v>45169</c:v>
                </c:pt>
                <c:pt idx="68">
                  <c:v>45200</c:v>
                </c:pt>
                <c:pt idx="69">
                  <c:v>45230</c:v>
                </c:pt>
                <c:pt idx="70">
                  <c:v>45261</c:v>
                </c:pt>
                <c:pt idx="71">
                  <c:v>45291</c:v>
                </c:pt>
                <c:pt idx="72">
                  <c:v>45322</c:v>
                </c:pt>
                <c:pt idx="73">
                  <c:v>45353</c:v>
                </c:pt>
                <c:pt idx="74">
                  <c:v>45382</c:v>
                </c:pt>
                <c:pt idx="75">
                  <c:v>45413</c:v>
                </c:pt>
                <c:pt idx="76">
                  <c:v>45443</c:v>
                </c:pt>
                <c:pt idx="77">
                  <c:v>45474</c:v>
                </c:pt>
                <c:pt idx="78">
                  <c:v>45504</c:v>
                </c:pt>
                <c:pt idx="79">
                  <c:v>45535</c:v>
                </c:pt>
                <c:pt idx="80">
                  <c:v>45566</c:v>
                </c:pt>
                <c:pt idx="81">
                  <c:v>45596</c:v>
                </c:pt>
                <c:pt idx="82">
                  <c:v>45627</c:v>
                </c:pt>
                <c:pt idx="83">
                  <c:v>45657</c:v>
                </c:pt>
              </c:numCache>
            </c:numRef>
          </c:cat>
          <c:val>
            <c:numRef>
              <c:f>'Forecast Analysis'!$D$2:$D$85</c:f>
              <c:numCache>
                <c:formatCode>General</c:formatCode>
                <c:ptCount val="84"/>
                <c:pt idx="59" formatCode="0.00">
                  <c:v>151127.8125</c:v>
                </c:pt>
                <c:pt idx="60" formatCode="0.00">
                  <c:v>133379.6941411435</c:v>
                </c:pt>
                <c:pt idx="61" formatCode="0.00">
                  <c:v>133839.2260169732</c:v>
                </c:pt>
                <c:pt idx="62" formatCode="0.00">
                  <c:v>129747.96384609002</c:v>
                </c:pt>
                <c:pt idx="63" formatCode="0.00">
                  <c:v>140085.79753070956</c:v>
                </c:pt>
                <c:pt idx="64" formatCode="0.00">
                  <c:v>134894.66881199391</c:v>
                </c:pt>
                <c:pt idx="65" formatCode="0.00">
                  <c:v>143761.07614648179</c:v>
                </c:pt>
                <c:pt idx="66" formatCode="0.00">
                  <c:v>143824.739237576</c:v>
                </c:pt>
                <c:pt idx="67" formatCode="0.00">
                  <c:v>142186.44184787734</c:v>
                </c:pt>
                <c:pt idx="68" formatCode="0.00">
                  <c:v>142108.88323205995</c:v>
                </c:pt>
                <c:pt idx="69" formatCode="0.00">
                  <c:v>131831.3454670597</c:v>
                </c:pt>
                <c:pt idx="70" formatCode="0.00">
                  <c:v>136573.17639782617</c:v>
                </c:pt>
                <c:pt idx="71" formatCode="0.00">
                  <c:v>138964.19982772678</c:v>
                </c:pt>
                <c:pt idx="72" formatCode="0.00">
                  <c:v>132832.86736552944</c:v>
                </c:pt>
                <c:pt idx="73" formatCode="0.00">
                  <c:v>133282.79765147335</c:v>
                </c:pt>
                <c:pt idx="74" formatCode="0.00">
                  <c:v>129182.00935471465</c:v>
                </c:pt>
                <c:pt idx="75" formatCode="0.00">
                  <c:v>139510.39157532825</c:v>
                </c:pt>
                <c:pt idx="76" formatCode="0.00">
                  <c:v>134309.8852432002</c:v>
                </c:pt>
                <c:pt idx="77" formatCode="0.00">
                  <c:v>143166.9879958455</c:v>
                </c:pt>
                <c:pt idx="78" formatCode="0.00">
                  <c:v>143221.41871120472</c:v>
                </c:pt>
                <c:pt idx="79" formatCode="0.00">
                  <c:v>141573.9603212119</c:v>
                </c:pt>
                <c:pt idx="80" formatCode="0.00">
                  <c:v>141487.31124583181</c:v>
                </c:pt>
                <c:pt idx="81" formatCode="0.00">
                  <c:v>131200.75272434024</c:v>
                </c:pt>
                <c:pt idx="82" formatCode="0.00">
                  <c:v>135933.63176210137</c:v>
                </c:pt>
                <c:pt idx="83" formatCode="0.00">
                  <c:v>138315.77132193328</c:v>
                </c:pt>
              </c:numCache>
            </c:numRef>
          </c:val>
          <c:smooth val="0"/>
          <c:extLst>
            <c:ext xmlns:c16="http://schemas.microsoft.com/office/drawing/2014/chart" uri="{C3380CC4-5D6E-409C-BE32-E72D297353CC}">
              <c16:uniqueId val="{00000002-506E-483D-80EB-9B6BBD5B8855}"/>
            </c:ext>
          </c:extLst>
        </c:ser>
        <c:ser>
          <c:idx val="3"/>
          <c:order val="3"/>
          <c:tx>
            <c:strRef>
              <c:f>'Forecast Analysis'!$E$1</c:f>
              <c:strCache>
                <c:ptCount val="1"/>
                <c:pt idx="0">
                  <c:v>Upper Confidence Bound(Revenue)</c:v>
                </c:pt>
              </c:strCache>
            </c:strRef>
          </c:tx>
          <c:spPr>
            <a:ln w="12700" cap="rnd">
              <a:solidFill>
                <a:srgbClr val="C0504D"/>
              </a:solidFill>
              <a:prstDash val="solid"/>
              <a:round/>
            </a:ln>
            <a:effectLst/>
          </c:spPr>
          <c:marker>
            <c:symbol val="none"/>
          </c:marker>
          <c:cat>
            <c:numRef>
              <c:f>'Forecast Analysis'!$A$2:$A$85</c:f>
              <c:numCache>
                <c:formatCode>m/d/yyyy</c:formatCode>
                <c:ptCount val="84"/>
                <c:pt idx="0">
                  <c:v>43131</c:v>
                </c:pt>
                <c:pt idx="1">
                  <c:v>43159</c:v>
                </c:pt>
                <c:pt idx="2">
                  <c:v>43190</c:v>
                </c:pt>
                <c:pt idx="3">
                  <c:v>43220</c:v>
                </c:pt>
                <c:pt idx="4">
                  <c:v>43251</c:v>
                </c:pt>
                <c:pt idx="5">
                  <c:v>43281</c:v>
                </c:pt>
                <c:pt idx="6">
                  <c:v>43312</c:v>
                </c:pt>
                <c:pt idx="7">
                  <c:v>43343</c:v>
                </c:pt>
                <c:pt idx="8">
                  <c:v>43373</c:v>
                </c:pt>
                <c:pt idx="9">
                  <c:v>43404</c:v>
                </c:pt>
                <c:pt idx="10">
                  <c:v>43434</c:v>
                </c:pt>
                <c:pt idx="11">
                  <c:v>43465</c:v>
                </c:pt>
                <c:pt idx="12">
                  <c:v>43496</c:v>
                </c:pt>
                <c:pt idx="13">
                  <c:v>43524</c:v>
                </c:pt>
                <c:pt idx="14">
                  <c:v>43555</c:v>
                </c:pt>
                <c:pt idx="15">
                  <c:v>43585</c:v>
                </c:pt>
                <c:pt idx="16">
                  <c:v>43616</c:v>
                </c:pt>
                <c:pt idx="17">
                  <c:v>43646</c:v>
                </c:pt>
                <c:pt idx="18">
                  <c:v>43677</c:v>
                </c:pt>
                <c:pt idx="19">
                  <c:v>43708</c:v>
                </c:pt>
                <c:pt idx="20">
                  <c:v>43738</c:v>
                </c:pt>
                <c:pt idx="21">
                  <c:v>43769</c:v>
                </c:pt>
                <c:pt idx="22">
                  <c:v>43799</c:v>
                </c:pt>
                <c:pt idx="23">
                  <c:v>43830</c:v>
                </c:pt>
                <c:pt idx="24">
                  <c:v>43861</c:v>
                </c:pt>
                <c:pt idx="25">
                  <c:v>43890</c:v>
                </c:pt>
                <c:pt idx="26">
                  <c:v>43921</c:v>
                </c:pt>
                <c:pt idx="27">
                  <c:v>43951</c:v>
                </c:pt>
                <c:pt idx="28">
                  <c:v>43982</c:v>
                </c:pt>
                <c:pt idx="29">
                  <c:v>44012</c:v>
                </c:pt>
                <c:pt idx="30">
                  <c:v>44043</c:v>
                </c:pt>
                <c:pt idx="31">
                  <c:v>44074</c:v>
                </c:pt>
                <c:pt idx="32">
                  <c:v>44104</c:v>
                </c:pt>
                <c:pt idx="33">
                  <c:v>44135</c:v>
                </c:pt>
                <c:pt idx="34">
                  <c:v>44165</c:v>
                </c:pt>
                <c:pt idx="35">
                  <c:v>44196</c:v>
                </c:pt>
                <c:pt idx="36">
                  <c:v>44227</c:v>
                </c:pt>
                <c:pt idx="37">
                  <c:v>44255</c:v>
                </c:pt>
                <c:pt idx="38">
                  <c:v>44286</c:v>
                </c:pt>
                <c:pt idx="39">
                  <c:v>44316</c:v>
                </c:pt>
                <c:pt idx="40">
                  <c:v>44347</c:v>
                </c:pt>
                <c:pt idx="41">
                  <c:v>44377</c:v>
                </c:pt>
                <c:pt idx="42">
                  <c:v>44408</c:v>
                </c:pt>
                <c:pt idx="43">
                  <c:v>44439</c:v>
                </c:pt>
                <c:pt idx="44">
                  <c:v>44469</c:v>
                </c:pt>
                <c:pt idx="45">
                  <c:v>44500</c:v>
                </c:pt>
                <c:pt idx="46">
                  <c:v>44530</c:v>
                </c:pt>
                <c:pt idx="47">
                  <c:v>44561</c:v>
                </c:pt>
                <c:pt idx="48">
                  <c:v>44592</c:v>
                </c:pt>
                <c:pt idx="49">
                  <c:v>44620</c:v>
                </c:pt>
                <c:pt idx="50">
                  <c:v>44651</c:v>
                </c:pt>
                <c:pt idx="51">
                  <c:v>44681</c:v>
                </c:pt>
                <c:pt idx="52">
                  <c:v>44712</c:v>
                </c:pt>
                <c:pt idx="53">
                  <c:v>44742</c:v>
                </c:pt>
                <c:pt idx="54">
                  <c:v>44773</c:v>
                </c:pt>
                <c:pt idx="55">
                  <c:v>44804</c:v>
                </c:pt>
                <c:pt idx="56">
                  <c:v>44834</c:v>
                </c:pt>
                <c:pt idx="57">
                  <c:v>44865</c:v>
                </c:pt>
                <c:pt idx="58">
                  <c:v>44895</c:v>
                </c:pt>
                <c:pt idx="59">
                  <c:v>44926</c:v>
                </c:pt>
                <c:pt idx="60">
                  <c:v>44957</c:v>
                </c:pt>
                <c:pt idx="61">
                  <c:v>44988</c:v>
                </c:pt>
                <c:pt idx="62">
                  <c:v>45016</c:v>
                </c:pt>
                <c:pt idx="63">
                  <c:v>45047</c:v>
                </c:pt>
                <c:pt idx="64">
                  <c:v>45077</c:v>
                </c:pt>
                <c:pt idx="65">
                  <c:v>45108</c:v>
                </c:pt>
                <c:pt idx="66">
                  <c:v>45138</c:v>
                </c:pt>
                <c:pt idx="67">
                  <c:v>45169</c:v>
                </c:pt>
                <c:pt idx="68">
                  <c:v>45200</c:v>
                </c:pt>
                <c:pt idx="69">
                  <c:v>45230</c:v>
                </c:pt>
                <c:pt idx="70">
                  <c:v>45261</c:v>
                </c:pt>
                <c:pt idx="71">
                  <c:v>45291</c:v>
                </c:pt>
                <c:pt idx="72">
                  <c:v>45322</c:v>
                </c:pt>
                <c:pt idx="73">
                  <c:v>45353</c:v>
                </c:pt>
                <c:pt idx="74">
                  <c:v>45382</c:v>
                </c:pt>
                <c:pt idx="75">
                  <c:v>45413</c:v>
                </c:pt>
                <c:pt idx="76">
                  <c:v>45443</c:v>
                </c:pt>
                <c:pt idx="77">
                  <c:v>45474</c:v>
                </c:pt>
                <c:pt idx="78">
                  <c:v>45504</c:v>
                </c:pt>
                <c:pt idx="79">
                  <c:v>45535</c:v>
                </c:pt>
                <c:pt idx="80">
                  <c:v>45566</c:v>
                </c:pt>
                <c:pt idx="81">
                  <c:v>45596</c:v>
                </c:pt>
                <c:pt idx="82">
                  <c:v>45627</c:v>
                </c:pt>
                <c:pt idx="83">
                  <c:v>45657</c:v>
                </c:pt>
              </c:numCache>
            </c:numRef>
          </c:cat>
          <c:val>
            <c:numRef>
              <c:f>'Forecast Analysis'!$E$2:$E$85</c:f>
              <c:numCache>
                <c:formatCode>General</c:formatCode>
                <c:ptCount val="84"/>
                <c:pt idx="59" formatCode="0.00">
                  <c:v>151127.8125</c:v>
                </c:pt>
                <c:pt idx="60" formatCode="0.00">
                  <c:v>160376.01518044787</c:v>
                </c:pt>
                <c:pt idx="61" formatCode="0.00">
                  <c:v>161052.38802776881</c:v>
                </c:pt>
                <c:pt idx="62" formatCode="0.00">
                  <c:v>157179.64020643284</c:v>
                </c:pt>
                <c:pt idx="63" formatCode="0.00">
                  <c:v>167737.64830417928</c:v>
                </c:pt>
                <c:pt idx="64" formatCode="0.00">
                  <c:v>162768.3408701825</c:v>
                </c:pt>
                <c:pt idx="65" formatCode="0.00">
                  <c:v>171858.20329444675</c:v>
                </c:pt>
                <c:pt idx="66" formatCode="0.00">
                  <c:v>172146.94234194866</c:v>
                </c:pt>
                <c:pt idx="67" formatCode="0.00">
                  <c:v>170735.32896733301</c:v>
                </c:pt>
                <c:pt idx="68" formatCode="0.00">
                  <c:v>170886.04974987172</c:v>
                </c:pt>
                <c:pt idx="69" formatCode="0.00">
                  <c:v>160838.37422547222</c:v>
                </c:pt>
                <c:pt idx="70" formatCode="0.00">
                  <c:v>165811.63783400011</c:v>
                </c:pt>
                <c:pt idx="71" formatCode="0.00">
                  <c:v>168435.65211101857</c:v>
                </c:pt>
                <c:pt idx="72" formatCode="0.00">
                  <c:v>162542.25427544516</c:v>
                </c:pt>
                <c:pt idx="73" formatCode="0.00">
                  <c:v>163228.22871265191</c:v>
                </c:pt>
                <c:pt idx="74" formatCode="0.00">
                  <c:v>159365.00701719144</c:v>
                </c:pt>
                <c:pt idx="75" formatCode="0.00">
                  <c:v>169932.46657894389</c:v>
                </c:pt>
                <c:pt idx="76" formatCode="0.00">
                  <c:v>164972.53675835949</c:v>
                </c:pt>
                <c:pt idx="77" formatCode="0.00">
                  <c:v>174071.70376446634</c:v>
                </c:pt>
                <c:pt idx="78" formatCode="0.00">
                  <c:v>174369.67518770322</c:v>
                </c:pt>
                <c:pt idx="79" formatCode="0.00">
                  <c:v>172967.2228133817</c:v>
                </c:pt>
                <c:pt idx="80" formatCode="0.00">
                  <c:v>173127.03405548309</c:v>
                </c:pt>
                <c:pt idx="81" formatCode="0.00">
                  <c:v>163088.37928757491</c:v>
                </c:pt>
                <c:pt idx="82" formatCode="0.00">
                  <c:v>168070.59478910815</c:v>
                </c:pt>
                <c:pt idx="83" formatCode="0.00">
                  <c:v>170703.49293619537</c:v>
                </c:pt>
              </c:numCache>
            </c:numRef>
          </c:val>
          <c:smooth val="0"/>
          <c:extLst>
            <c:ext xmlns:c16="http://schemas.microsoft.com/office/drawing/2014/chart" uri="{C3380CC4-5D6E-409C-BE32-E72D297353CC}">
              <c16:uniqueId val="{00000003-506E-483D-80EB-9B6BBD5B8855}"/>
            </c:ext>
          </c:extLst>
        </c:ser>
        <c:dLbls>
          <c:showLegendKey val="0"/>
          <c:showVal val="0"/>
          <c:showCatName val="0"/>
          <c:showSerName val="0"/>
          <c:showPercent val="0"/>
          <c:showBubbleSize val="0"/>
        </c:dLbls>
        <c:smooth val="0"/>
        <c:axId val="707176671"/>
        <c:axId val="707181711"/>
      </c:lineChart>
      <c:catAx>
        <c:axId val="70717667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707181711"/>
        <c:crosses val="autoZero"/>
        <c:auto val="1"/>
        <c:lblAlgn val="ctr"/>
        <c:lblOffset val="100"/>
        <c:noMultiLvlLbl val="0"/>
      </c:catAx>
      <c:valAx>
        <c:axId val="707181711"/>
        <c:scaling>
          <c:orientation val="minMax"/>
        </c:scaling>
        <c:delete val="0"/>
        <c:axPos val="l"/>
        <c:majorGridlines>
          <c:spPr>
            <a:ln w="9525" cap="flat" cmpd="sng" algn="ctr">
              <a:solidFill>
                <a:schemeClr val="bg1">
                  <a:lumMod val="85000"/>
                  <a:alpha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707176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[finance_project.xlsx]Analysis!PivotTable1</c:name>
    <c:fmtId val="4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Analysis!$L$12</c:f>
              <c:strCache>
                <c:ptCount val="1"/>
                <c:pt idx="0">
                  <c:v>Total</c:v>
                </c:pt>
              </c:strCache>
            </c:strRef>
          </c:tx>
          <c:spPr>
            <a:ln w="28575" cap="rnd">
              <a:solidFill>
                <a:schemeClr val="accent1"/>
              </a:solidFill>
              <a:round/>
            </a:ln>
            <a:effectLst/>
          </c:spPr>
          <c:marker>
            <c:symbol val="none"/>
          </c:marker>
          <c:cat>
            <c:strRef>
              <c:f>Analysis!$K$13:$K$18</c:f>
              <c:strCache>
                <c:ptCount val="5"/>
                <c:pt idx="0">
                  <c:v>2018</c:v>
                </c:pt>
                <c:pt idx="1">
                  <c:v>2019</c:v>
                </c:pt>
                <c:pt idx="2">
                  <c:v>2020</c:v>
                </c:pt>
                <c:pt idx="3">
                  <c:v>2021</c:v>
                </c:pt>
                <c:pt idx="4">
                  <c:v>2022</c:v>
                </c:pt>
              </c:strCache>
            </c:strRef>
          </c:cat>
          <c:val>
            <c:numRef>
              <c:f>Analysis!$L$13:$L$18</c:f>
              <c:numCache>
                <c:formatCode>_-[$$-409]* #,##0.0_ ;_-[$$-409]* \-#,##0.0\ ;_-[$$-409]* "-"??_ ;_-@_ </c:formatCode>
                <c:ptCount val="5"/>
                <c:pt idx="0">
                  <c:v>28553322</c:v>
                </c:pt>
                <c:pt idx="1">
                  <c:v>27541789</c:v>
                </c:pt>
                <c:pt idx="2">
                  <c:v>28829880</c:v>
                </c:pt>
                <c:pt idx="3">
                  <c:v>28619708</c:v>
                </c:pt>
                <c:pt idx="4">
                  <c:v>29082259</c:v>
                </c:pt>
              </c:numCache>
            </c:numRef>
          </c:val>
          <c:smooth val="1"/>
          <c:extLst>
            <c:ext xmlns:c16="http://schemas.microsoft.com/office/drawing/2014/chart" uri="{C3380CC4-5D6E-409C-BE32-E72D297353CC}">
              <c16:uniqueId val="{00000000-64BE-4FBC-85A5-CFC5E8F1642D}"/>
            </c:ext>
          </c:extLst>
        </c:ser>
        <c:dLbls>
          <c:showLegendKey val="0"/>
          <c:showVal val="0"/>
          <c:showCatName val="0"/>
          <c:showSerName val="0"/>
          <c:showPercent val="0"/>
          <c:showBubbleSize val="0"/>
        </c:dLbls>
        <c:smooth val="0"/>
        <c:axId val="621552304"/>
        <c:axId val="621556984"/>
      </c:lineChart>
      <c:catAx>
        <c:axId val="621552304"/>
        <c:scaling>
          <c:orientation val="minMax"/>
        </c:scaling>
        <c:delete val="1"/>
        <c:axPos val="b"/>
        <c:numFmt formatCode="General" sourceLinked="1"/>
        <c:majorTickMark val="none"/>
        <c:minorTickMark val="none"/>
        <c:tickLblPos val="nextTo"/>
        <c:crossAx val="621556984"/>
        <c:crosses val="autoZero"/>
        <c:auto val="1"/>
        <c:lblAlgn val="ctr"/>
        <c:lblOffset val="100"/>
        <c:noMultiLvlLbl val="0"/>
      </c:catAx>
      <c:valAx>
        <c:axId val="621556984"/>
        <c:scaling>
          <c:orientation val="minMax"/>
        </c:scaling>
        <c:delete val="1"/>
        <c:axPos val="l"/>
        <c:numFmt formatCode="_-[$$-409]* #,##0.0_ ;_-[$$-409]* \-#,##0.0\ ;_-[$$-409]* &quot;-&quot;??_ ;_-@_ " sourceLinked="1"/>
        <c:majorTickMark val="none"/>
        <c:minorTickMark val="none"/>
        <c:tickLblPos val="nextTo"/>
        <c:crossAx val="62155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[finance_project.xlsx]Analysis!PivotTable20</c:name>
    <c:fmtId val="30"/>
  </c:pivotSource>
  <c:chart>
    <c:autoTitleDeleted val="1"/>
    <c:pivotFmts>
      <c:pivotFmt>
        <c:idx val="0"/>
        <c:spPr>
          <a:gradFill>
            <a:gsLst>
              <a:gs pos="0">
                <a:srgbClr val="FFC857"/>
              </a:gs>
              <a:gs pos="74000">
                <a:schemeClr val="bg1"/>
              </a:gs>
              <a:gs pos="83000">
                <a:schemeClr val="bg1"/>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FFC857"/>
              </a:gs>
              <a:gs pos="74000">
                <a:schemeClr val="bg1"/>
              </a:gs>
              <a:gs pos="83000">
                <a:schemeClr val="bg1"/>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C857"/>
              </a:gs>
              <a:gs pos="74000">
                <a:schemeClr val="bg1"/>
              </a:gs>
              <a:gs pos="83000">
                <a:schemeClr val="bg1"/>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Analysis!$B$3</c:f>
              <c:strCache>
                <c:ptCount val="1"/>
                <c:pt idx="0">
                  <c:v>Total</c:v>
                </c:pt>
              </c:strCache>
            </c:strRef>
          </c:tx>
          <c:spPr>
            <a:gradFill>
              <a:gsLst>
                <a:gs pos="0">
                  <a:srgbClr val="FFC857"/>
                </a:gs>
                <a:gs pos="74000">
                  <a:schemeClr val="bg1"/>
                </a:gs>
                <a:gs pos="83000">
                  <a:schemeClr val="bg1"/>
                </a:gs>
                <a:gs pos="100000">
                  <a:schemeClr val="bg1"/>
                </a:gs>
              </a:gsLst>
              <a:lin ang="5400000" scaled="1"/>
            </a:gradFill>
            <a:ln>
              <a:noFill/>
            </a:ln>
            <a:effectLst/>
          </c:spPr>
          <c:cat>
            <c:strRef>
              <c:f>Analysis!$A$4:$A$9</c:f>
              <c:strCache>
                <c:ptCount val="5"/>
                <c:pt idx="0">
                  <c:v>2018</c:v>
                </c:pt>
                <c:pt idx="1">
                  <c:v>2019</c:v>
                </c:pt>
                <c:pt idx="2">
                  <c:v>2020</c:v>
                </c:pt>
                <c:pt idx="3">
                  <c:v>2021</c:v>
                </c:pt>
                <c:pt idx="4">
                  <c:v>2022</c:v>
                </c:pt>
              </c:strCache>
            </c:strRef>
          </c:cat>
          <c:val>
            <c:numRef>
              <c:f>Analysis!$B$4:$B$9</c:f>
              <c:numCache>
                <c:formatCode>_-[$$-409]* #,##0.0_ ;_-[$$-409]* \-#,##0.0\ ;_-[$$-409]* "-"??_ ;_-@_ </c:formatCode>
                <c:ptCount val="5"/>
                <c:pt idx="0">
                  <c:v>5312157</c:v>
                </c:pt>
                <c:pt idx="1">
                  <c:v>3917431</c:v>
                </c:pt>
                <c:pt idx="2">
                  <c:v>5739834</c:v>
                </c:pt>
                <c:pt idx="3">
                  <c:v>5326238</c:v>
                </c:pt>
                <c:pt idx="4">
                  <c:v>5947469</c:v>
                </c:pt>
              </c:numCache>
            </c:numRef>
          </c:val>
          <c:extLst>
            <c:ext xmlns:c16="http://schemas.microsoft.com/office/drawing/2014/chart" uri="{C3380CC4-5D6E-409C-BE32-E72D297353CC}">
              <c16:uniqueId val="{00000000-531A-439D-A625-CC9E6CF53647}"/>
            </c:ext>
          </c:extLst>
        </c:ser>
        <c:dLbls>
          <c:showLegendKey val="0"/>
          <c:showVal val="0"/>
          <c:showCatName val="0"/>
          <c:showSerName val="0"/>
          <c:showPercent val="0"/>
          <c:showBubbleSize val="0"/>
        </c:dLbls>
        <c:axId val="868330752"/>
        <c:axId val="868332912"/>
      </c:areaChart>
      <c:catAx>
        <c:axId val="868330752"/>
        <c:scaling>
          <c:orientation val="minMax"/>
        </c:scaling>
        <c:delete val="1"/>
        <c:axPos val="b"/>
        <c:numFmt formatCode="General" sourceLinked="1"/>
        <c:majorTickMark val="out"/>
        <c:minorTickMark val="none"/>
        <c:tickLblPos val="nextTo"/>
        <c:crossAx val="868332912"/>
        <c:crosses val="autoZero"/>
        <c:auto val="1"/>
        <c:lblAlgn val="ctr"/>
        <c:lblOffset val="100"/>
        <c:noMultiLvlLbl val="0"/>
      </c:catAx>
      <c:valAx>
        <c:axId val="868332912"/>
        <c:scaling>
          <c:orientation val="minMax"/>
        </c:scaling>
        <c:delete val="1"/>
        <c:axPos val="l"/>
        <c:numFmt formatCode="_-[$$-409]* #,##0.0_ ;_-[$$-409]* \-#,##0.0\ ;_-[$$-409]* &quot;-&quot;??_ ;_-@_ " sourceLinked="1"/>
        <c:majorTickMark val="none"/>
        <c:minorTickMark val="none"/>
        <c:tickLblPos val="nextTo"/>
        <c:crossAx val="8683307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[finance_project.xlsx]Analysis!PivotTable2</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B6B"/>
          </a:solidFill>
          <a:ln>
            <a:noFill/>
          </a:ln>
          <a:effectLst/>
        </c:spPr>
      </c:pivotFmt>
      <c:pivotFmt>
        <c:idx val="2"/>
        <c:spPr>
          <a:solidFill>
            <a:srgbClr val="FF6B6B"/>
          </a:solidFill>
          <a:ln>
            <a:noFill/>
          </a:ln>
          <a:effectLst/>
        </c:spPr>
      </c:pivotFmt>
      <c:pivotFmt>
        <c:idx val="3"/>
        <c:spPr>
          <a:solidFill>
            <a:srgbClr val="FF6B6B"/>
          </a:solidFill>
          <a:ln>
            <a:noFill/>
          </a:ln>
          <a:effectLst/>
        </c:spPr>
      </c:pivotFmt>
      <c:pivotFmt>
        <c:idx val="4"/>
        <c:spPr>
          <a:solidFill>
            <a:srgbClr val="FF6B6B"/>
          </a:solidFill>
          <a:ln>
            <a:noFill/>
          </a:ln>
          <a:effectLst/>
        </c:spPr>
      </c:pivotFmt>
      <c:pivotFmt>
        <c:idx val="5"/>
        <c:spPr>
          <a:solidFill>
            <a:srgbClr val="FF6B6B"/>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6B6B"/>
          </a:solidFill>
          <a:ln>
            <a:noFill/>
          </a:ln>
          <a:effectLst/>
        </c:spPr>
      </c:pivotFmt>
      <c:pivotFmt>
        <c:idx val="8"/>
        <c:spPr>
          <a:solidFill>
            <a:srgbClr val="FF6B6B"/>
          </a:solidFill>
          <a:ln>
            <a:noFill/>
          </a:ln>
          <a:effectLst/>
        </c:spPr>
      </c:pivotFmt>
      <c:pivotFmt>
        <c:idx val="9"/>
        <c:spPr>
          <a:solidFill>
            <a:srgbClr val="FF6B6B"/>
          </a:solidFill>
          <a:ln>
            <a:noFill/>
          </a:ln>
          <a:effectLst/>
        </c:spPr>
      </c:pivotFmt>
      <c:pivotFmt>
        <c:idx val="10"/>
        <c:spPr>
          <a:solidFill>
            <a:srgbClr val="FF6B6B"/>
          </a:solidFill>
          <a:ln>
            <a:noFill/>
          </a:ln>
          <a:effectLst/>
        </c:spPr>
      </c:pivotFmt>
      <c:pivotFmt>
        <c:idx val="11"/>
        <c:spPr>
          <a:solidFill>
            <a:srgbClr val="FF6B6B"/>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6B6B"/>
          </a:solidFill>
          <a:ln>
            <a:noFill/>
          </a:ln>
          <a:effectLst/>
        </c:spPr>
      </c:pivotFmt>
      <c:pivotFmt>
        <c:idx val="14"/>
        <c:spPr>
          <a:solidFill>
            <a:srgbClr val="FF6B6B"/>
          </a:solidFill>
          <a:ln>
            <a:noFill/>
          </a:ln>
          <a:effectLst/>
        </c:spPr>
      </c:pivotFmt>
      <c:pivotFmt>
        <c:idx val="15"/>
        <c:spPr>
          <a:solidFill>
            <a:srgbClr val="FF6B6B"/>
          </a:solidFill>
          <a:ln>
            <a:noFill/>
          </a:ln>
          <a:effectLst/>
        </c:spPr>
      </c:pivotFmt>
      <c:pivotFmt>
        <c:idx val="16"/>
        <c:spPr>
          <a:solidFill>
            <a:srgbClr val="FF6B6B"/>
          </a:solidFill>
          <a:ln>
            <a:noFill/>
          </a:ln>
          <a:effectLst/>
        </c:spPr>
      </c:pivotFmt>
      <c:pivotFmt>
        <c:idx val="17"/>
        <c:spPr>
          <a:solidFill>
            <a:srgbClr val="FF6B6B"/>
          </a:solidFill>
          <a:ln>
            <a:noFill/>
          </a:ln>
          <a:effectLst/>
        </c:spPr>
      </c:pivotFmt>
    </c:pivotFmts>
    <c:plotArea>
      <c:layout/>
      <c:barChart>
        <c:barDir val="col"/>
        <c:grouping val="clustered"/>
        <c:varyColors val="0"/>
        <c:ser>
          <c:idx val="0"/>
          <c:order val="0"/>
          <c:tx>
            <c:strRef>
              <c:f>Analysis!$B$32</c:f>
              <c:strCache>
                <c:ptCount val="1"/>
                <c:pt idx="0">
                  <c:v>Total</c:v>
                </c:pt>
              </c:strCache>
            </c:strRef>
          </c:tx>
          <c:spPr>
            <a:solidFill>
              <a:schemeClr val="accent1"/>
            </a:solidFill>
            <a:ln>
              <a:noFill/>
            </a:ln>
            <a:effectLst/>
          </c:spPr>
          <c:invertIfNegative val="0"/>
          <c:dPt>
            <c:idx val="0"/>
            <c:invertIfNegative val="0"/>
            <c:bubble3D val="0"/>
            <c:spPr>
              <a:solidFill>
                <a:srgbClr val="FF6B6B"/>
              </a:solidFill>
              <a:ln>
                <a:noFill/>
              </a:ln>
              <a:effectLst/>
            </c:spPr>
            <c:extLst>
              <c:ext xmlns:c16="http://schemas.microsoft.com/office/drawing/2014/chart" uri="{C3380CC4-5D6E-409C-BE32-E72D297353CC}">
                <c16:uniqueId val="{00000001-1961-4EDD-A4D4-CF6D78F6F201}"/>
              </c:ext>
            </c:extLst>
          </c:dPt>
          <c:dPt>
            <c:idx val="1"/>
            <c:invertIfNegative val="0"/>
            <c:bubble3D val="0"/>
            <c:spPr>
              <a:solidFill>
                <a:srgbClr val="FF6B6B"/>
              </a:solidFill>
              <a:ln>
                <a:noFill/>
              </a:ln>
              <a:effectLst/>
            </c:spPr>
            <c:extLst>
              <c:ext xmlns:c16="http://schemas.microsoft.com/office/drawing/2014/chart" uri="{C3380CC4-5D6E-409C-BE32-E72D297353CC}">
                <c16:uniqueId val="{00000003-1961-4EDD-A4D4-CF6D78F6F201}"/>
              </c:ext>
            </c:extLst>
          </c:dPt>
          <c:dPt>
            <c:idx val="2"/>
            <c:invertIfNegative val="0"/>
            <c:bubble3D val="0"/>
            <c:spPr>
              <a:solidFill>
                <a:srgbClr val="FF6B6B"/>
              </a:solidFill>
              <a:ln>
                <a:noFill/>
              </a:ln>
              <a:effectLst/>
            </c:spPr>
            <c:extLst>
              <c:ext xmlns:c16="http://schemas.microsoft.com/office/drawing/2014/chart" uri="{C3380CC4-5D6E-409C-BE32-E72D297353CC}">
                <c16:uniqueId val="{00000005-1961-4EDD-A4D4-CF6D78F6F201}"/>
              </c:ext>
            </c:extLst>
          </c:dPt>
          <c:dPt>
            <c:idx val="3"/>
            <c:invertIfNegative val="0"/>
            <c:bubble3D val="0"/>
            <c:spPr>
              <a:solidFill>
                <a:srgbClr val="FF6B6B"/>
              </a:solidFill>
              <a:ln>
                <a:noFill/>
              </a:ln>
              <a:effectLst/>
            </c:spPr>
            <c:extLst>
              <c:ext xmlns:c16="http://schemas.microsoft.com/office/drawing/2014/chart" uri="{C3380CC4-5D6E-409C-BE32-E72D297353CC}">
                <c16:uniqueId val="{00000007-1961-4EDD-A4D4-CF6D78F6F201}"/>
              </c:ext>
            </c:extLst>
          </c:dPt>
          <c:dPt>
            <c:idx val="4"/>
            <c:invertIfNegative val="0"/>
            <c:bubble3D val="0"/>
            <c:spPr>
              <a:solidFill>
                <a:srgbClr val="FF6B6B"/>
              </a:solidFill>
              <a:ln>
                <a:noFill/>
              </a:ln>
              <a:effectLst/>
            </c:spPr>
            <c:extLst>
              <c:ext xmlns:c16="http://schemas.microsoft.com/office/drawing/2014/chart" uri="{C3380CC4-5D6E-409C-BE32-E72D297353CC}">
                <c16:uniqueId val="{00000009-1961-4EDD-A4D4-CF6D78F6F201}"/>
              </c:ext>
            </c:extLst>
          </c:dPt>
          <c:cat>
            <c:strRef>
              <c:f>Analysis!$A$33:$A$38</c:f>
              <c:strCache>
                <c:ptCount val="5"/>
                <c:pt idx="0">
                  <c:v>2018</c:v>
                </c:pt>
                <c:pt idx="1">
                  <c:v>2019</c:v>
                </c:pt>
                <c:pt idx="2">
                  <c:v>2020</c:v>
                </c:pt>
                <c:pt idx="3">
                  <c:v>2021</c:v>
                </c:pt>
                <c:pt idx="4">
                  <c:v>2022</c:v>
                </c:pt>
              </c:strCache>
            </c:strRef>
          </c:cat>
          <c:val>
            <c:numRef>
              <c:f>Analysis!$B$33:$B$38</c:f>
              <c:numCache>
                <c:formatCode>0.00</c:formatCode>
                <c:ptCount val="5"/>
                <c:pt idx="0">
                  <c:v>0.1536915387988638</c:v>
                </c:pt>
                <c:pt idx="1">
                  <c:v>0.22693865799408761</c:v>
                </c:pt>
                <c:pt idx="2">
                  <c:v>0.19736414962216911</c:v>
                </c:pt>
                <c:pt idx="3">
                  <c:v>0.19634410779082642</c:v>
                </c:pt>
                <c:pt idx="4">
                  <c:v>0.19825053284587615</c:v>
                </c:pt>
              </c:numCache>
            </c:numRef>
          </c:val>
          <c:extLst>
            <c:ext xmlns:c16="http://schemas.microsoft.com/office/drawing/2014/chart" uri="{C3380CC4-5D6E-409C-BE32-E72D297353CC}">
              <c16:uniqueId val="{0000000A-1961-4EDD-A4D4-CF6D78F6F201}"/>
            </c:ext>
          </c:extLst>
        </c:ser>
        <c:dLbls>
          <c:showLegendKey val="0"/>
          <c:showVal val="0"/>
          <c:showCatName val="0"/>
          <c:showSerName val="0"/>
          <c:showPercent val="0"/>
          <c:showBubbleSize val="0"/>
        </c:dLbls>
        <c:gapWidth val="219"/>
        <c:overlap val="-27"/>
        <c:axId val="616299408"/>
        <c:axId val="616292568"/>
      </c:barChart>
      <c:catAx>
        <c:axId val="616299408"/>
        <c:scaling>
          <c:orientation val="minMax"/>
        </c:scaling>
        <c:delete val="1"/>
        <c:axPos val="b"/>
        <c:numFmt formatCode="General" sourceLinked="1"/>
        <c:majorTickMark val="none"/>
        <c:minorTickMark val="none"/>
        <c:tickLblPos val="nextTo"/>
        <c:crossAx val="616292568"/>
        <c:crosses val="autoZero"/>
        <c:auto val="1"/>
        <c:lblAlgn val="ctr"/>
        <c:lblOffset val="100"/>
        <c:noMultiLvlLbl val="0"/>
      </c:catAx>
      <c:valAx>
        <c:axId val="616292568"/>
        <c:scaling>
          <c:orientation val="minMax"/>
        </c:scaling>
        <c:delete val="1"/>
        <c:axPos val="l"/>
        <c:numFmt formatCode="0.00" sourceLinked="1"/>
        <c:majorTickMark val="none"/>
        <c:minorTickMark val="none"/>
        <c:tickLblPos val="nextTo"/>
        <c:crossAx val="61629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[finance_project.xlsx]Analysis!PivotTable3</c:name>
    <c:fmtId val="33"/>
  </c:pivotSource>
  <c:chart>
    <c:autoTitleDeleted val="1"/>
    <c:pivotFmts>
      <c:pivotFmt>
        <c:idx val="0"/>
        <c:spPr>
          <a:gradFill>
            <a:gsLst>
              <a:gs pos="0">
                <a:srgbClr val="FFC857"/>
              </a:gs>
              <a:gs pos="74000">
                <a:schemeClr val="bg1">
                  <a:lumMod val="95000"/>
                  <a:alpha val="30000"/>
                </a:schemeClr>
              </a:gs>
              <a:gs pos="83000">
                <a:schemeClr val="bg1">
                  <a:lumMod val="95000"/>
                  <a:alpha val="20000"/>
                </a:schemeClr>
              </a:gs>
              <a:gs pos="100000">
                <a:schemeClr val="bg1">
                  <a:lumMod val="95000"/>
                  <a:alpha val="10000"/>
                </a:schemeClr>
              </a:gs>
            </a:gsLst>
            <a:lin ang="5400000" scaled="1"/>
          </a:gradFill>
          <a:ln>
            <a:solidFill>
              <a:schemeClr val="bg1">
                <a:alpha val="9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FFC857"/>
              </a:gs>
              <a:gs pos="74000">
                <a:schemeClr val="bg1">
                  <a:lumMod val="95000"/>
                  <a:alpha val="30000"/>
                </a:schemeClr>
              </a:gs>
              <a:gs pos="83000">
                <a:schemeClr val="bg1">
                  <a:lumMod val="95000"/>
                  <a:alpha val="20000"/>
                </a:schemeClr>
              </a:gs>
              <a:gs pos="100000">
                <a:schemeClr val="bg1">
                  <a:lumMod val="95000"/>
                  <a:alpha val="10000"/>
                </a:schemeClr>
              </a:gs>
            </a:gsLst>
            <a:lin ang="5400000" scaled="1"/>
          </a:gradFill>
          <a:ln>
            <a:solidFill>
              <a:schemeClr val="bg1">
                <a:alpha val="9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C857"/>
              </a:gs>
              <a:gs pos="74000">
                <a:schemeClr val="bg1">
                  <a:lumMod val="95000"/>
                  <a:alpha val="30000"/>
                </a:schemeClr>
              </a:gs>
              <a:gs pos="83000">
                <a:schemeClr val="bg1">
                  <a:lumMod val="95000"/>
                  <a:alpha val="20000"/>
                </a:schemeClr>
              </a:gs>
              <a:gs pos="100000">
                <a:schemeClr val="bg1">
                  <a:lumMod val="95000"/>
                  <a:alpha val="10000"/>
                </a:schemeClr>
              </a:gs>
            </a:gsLst>
            <a:lin ang="5400000" scaled="1"/>
          </a:gradFill>
          <a:ln>
            <a:solidFill>
              <a:schemeClr val="bg1">
                <a:alpha val="9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Analysis!$L$23</c:f>
              <c:strCache>
                <c:ptCount val="1"/>
                <c:pt idx="0">
                  <c:v>Total</c:v>
                </c:pt>
              </c:strCache>
            </c:strRef>
          </c:tx>
          <c:spPr>
            <a:gradFill>
              <a:gsLst>
                <a:gs pos="0">
                  <a:srgbClr val="FFC857"/>
                </a:gs>
                <a:gs pos="74000">
                  <a:schemeClr val="bg1">
                    <a:lumMod val="95000"/>
                    <a:alpha val="30000"/>
                  </a:schemeClr>
                </a:gs>
                <a:gs pos="83000">
                  <a:schemeClr val="bg1">
                    <a:lumMod val="95000"/>
                    <a:alpha val="20000"/>
                  </a:schemeClr>
                </a:gs>
                <a:gs pos="100000">
                  <a:schemeClr val="bg1">
                    <a:lumMod val="95000"/>
                    <a:alpha val="10000"/>
                  </a:schemeClr>
                </a:gs>
              </a:gsLst>
              <a:lin ang="5400000" scaled="1"/>
            </a:gradFill>
            <a:ln>
              <a:solidFill>
                <a:schemeClr val="bg1">
                  <a:alpha val="97000"/>
                </a:schemeClr>
              </a:solidFill>
            </a:ln>
            <a:effectLst/>
          </c:spPr>
          <c:cat>
            <c:strRef>
              <c:f>Analysis!$K$24:$K$29</c:f>
              <c:strCache>
                <c:ptCount val="5"/>
                <c:pt idx="0">
                  <c:v>2018</c:v>
                </c:pt>
                <c:pt idx="1">
                  <c:v>2019</c:v>
                </c:pt>
                <c:pt idx="2">
                  <c:v>2020</c:v>
                </c:pt>
                <c:pt idx="3">
                  <c:v>2021</c:v>
                </c:pt>
                <c:pt idx="4">
                  <c:v>2022</c:v>
                </c:pt>
              </c:strCache>
            </c:strRef>
          </c:cat>
          <c:val>
            <c:numRef>
              <c:f>Analysis!$L$24:$L$29</c:f>
              <c:numCache>
                <c:formatCode>0.00</c:formatCode>
                <c:ptCount val="5"/>
                <c:pt idx="0">
                  <c:v>4.5746720194029256E-2</c:v>
                </c:pt>
                <c:pt idx="1">
                  <c:v>3.5306984836917341E-2</c:v>
                </c:pt>
                <c:pt idx="2">
                  <c:v>4.896199488195873E-2</c:v>
                </c:pt>
                <c:pt idx="3">
                  <c:v>4.5953874035274914E-2</c:v>
                </c:pt>
                <c:pt idx="4">
                  <c:v>4.9834231085940102E-2</c:v>
                </c:pt>
              </c:numCache>
            </c:numRef>
          </c:val>
          <c:extLst>
            <c:ext xmlns:c16="http://schemas.microsoft.com/office/drawing/2014/chart" uri="{C3380CC4-5D6E-409C-BE32-E72D297353CC}">
              <c16:uniqueId val="{00000000-F307-43A6-8614-40FE2BF9B8E6}"/>
            </c:ext>
          </c:extLst>
        </c:ser>
        <c:dLbls>
          <c:showLegendKey val="0"/>
          <c:showVal val="0"/>
          <c:showCatName val="0"/>
          <c:showSerName val="0"/>
          <c:showPercent val="0"/>
          <c:showBubbleSize val="0"/>
        </c:dLbls>
        <c:axId val="436622536"/>
        <c:axId val="436622896"/>
      </c:areaChart>
      <c:catAx>
        <c:axId val="436622536"/>
        <c:scaling>
          <c:orientation val="minMax"/>
        </c:scaling>
        <c:delete val="1"/>
        <c:axPos val="b"/>
        <c:numFmt formatCode="General" sourceLinked="1"/>
        <c:majorTickMark val="out"/>
        <c:minorTickMark val="none"/>
        <c:tickLblPos val="nextTo"/>
        <c:crossAx val="436622896"/>
        <c:crosses val="autoZero"/>
        <c:auto val="1"/>
        <c:lblAlgn val="ctr"/>
        <c:lblOffset val="100"/>
        <c:noMultiLvlLbl val="0"/>
      </c:catAx>
      <c:valAx>
        <c:axId val="436622896"/>
        <c:scaling>
          <c:orientation val="minMax"/>
        </c:scaling>
        <c:delete val="1"/>
        <c:axPos val="l"/>
        <c:numFmt formatCode="0.00" sourceLinked="1"/>
        <c:majorTickMark val="none"/>
        <c:minorTickMark val="none"/>
        <c:tickLblPos val="nextTo"/>
        <c:crossAx val="4366225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[finance_project.xlsx]Analysis!PivotTable4</c:name>
    <c:fmtId val="36"/>
  </c:pivotSource>
  <c:chart>
    <c:autoTitleDeleted val="1"/>
    <c:pivotFmts>
      <c:pivotFmt>
        <c:idx val="0"/>
        <c:spPr>
          <a:solidFill>
            <a:srgbClr val="FF6B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B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B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Analysis!$K$34</c:f>
              <c:strCache>
                <c:ptCount val="1"/>
                <c:pt idx="0">
                  <c:v>Total</c:v>
                </c:pt>
              </c:strCache>
            </c:strRef>
          </c:tx>
          <c:spPr>
            <a:solidFill>
              <a:srgbClr val="FF6B6B"/>
            </a:solidFill>
            <a:ln>
              <a:noFill/>
            </a:ln>
            <a:effectLst/>
          </c:spPr>
          <c:invertIfNegative val="0"/>
          <c:cat>
            <c:strRef>
              <c:f>Analysis!$J$35:$J$40</c:f>
              <c:strCache>
                <c:ptCount val="5"/>
                <c:pt idx="0">
                  <c:v>2018</c:v>
                </c:pt>
                <c:pt idx="1">
                  <c:v>2019</c:v>
                </c:pt>
                <c:pt idx="2">
                  <c:v>2020</c:v>
                </c:pt>
                <c:pt idx="3">
                  <c:v>2021</c:v>
                </c:pt>
                <c:pt idx="4">
                  <c:v>2022</c:v>
                </c:pt>
              </c:strCache>
            </c:strRef>
          </c:cat>
          <c:val>
            <c:numRef>
              <c:f>Analysis!$K$35:$K$40</c:f>
              <c:numCache>
                <c:formatCode>0%</c:formatCode>
                <c:ptCount val="5"/>
                <c:pt idx="0">
                  <c:v>0.1860433962815255</c:v>
                </c:pt>
                <c:pt idx="1">
                  <c:v>0.1422358946980532</c:v>
                </c:pt>
                <c:pt idx="2">
                  <c:v>0.19909323243801222</c:v>
                </c:pt>
                <c:pt idx="3">
                  <c:v>0.18610385542717628</c:v>
                </c:pt>
                <c:pt idx="4">
                  <c:v>0.20450505581426806</c:v>
                </c:pt>
              </c:numCache>
            </c:numRef>
          </c:val>
          <c:extLst>
            <c:ext xmlns:c16="http://schemas.microsoft.com/office/drawing/2014/chart" uri="{C3380CC4-5D6E-409C-BE32-E72D297353CC}">
              <c16:uniqueId val="{00000000-A2EA-4248-9F7E-89827FBA4D5E}"/>
            </c:ext>
          </c:extLst>
        </c:ser>
        <c:dLbls>
          <c:showLegendKey val="0"/>
          <c:showVal val="0"/>
          <c:showCatName val="0"/>
          <c:showSerName val="0"/>
          <c:showPercent val="0"/>
          <c:showBubbleSize val="0"/>
        </c:dLbls>
        <c:gapWidth val="219"/>
        <c:overlap val="-27"/>
        <c:axId val="552685840"/>
        <c:axId val="433752048"/>
      </c:barChart>
      <c:catAx>
        <c:axId val="552685840"/>
        <c:scaling>
          <c:orientation val="minMax"/>
        </c:scaling>
        <c:delete val="1"/>
        <c:axPos val="b"/>
        <c:numFmt formatCode="General" sourceLinked="1"/>
        <c:majorTickMark val="none"/>
        <c:minorTickMark val="none"/>
        <c:tickLblPos val="nextTo"/>
        <c:crossAx val="433752048"/>
        <c:crosses val="autoZero"/>
        <c:auto val="1"/>
        <c:lblAlgn val="ctr"/>
        <c:lblOffset val="100"/>
        <c:noMultiLvlLbl val="0"/>
      </c:catAx>
      <c:valAx>
        <c:axId val="433752048"/>
        <c:scaling>
          <c:orientation val="minMax"/>
        </c:scaling>
        <c:delete val="1"/>
        <c:axPos val="l"/>
        <c:numFmt formatCode="0%" sourceLinked="1"/>
        <c:majorTickMark val="none"/>
        <c:minorTickMark val="none"/>
        <c:tickLblPos val="nextTo"/>
        <c:crossAx val="55268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Trebuchet MS" panose="020B0603020202020204" pitchFamily="34" charset="0"/>
                <a:ea typeface="+mn-ea"/>
                <a:cs typeface="+mn-cs"/>
              </a:defRPr>
            </a:pPr>
            <a:r>
              <a:rPr lang="en-US" sz="1000">
                <a:solidFill>
                  <a:sysClr val="windowText" lastClr="000000"/>
                </a:solidFill>
                <a:latin typeface="Trebuchet MS" panose="020B0603020202020204" pitchFamily="34" charset="0"/>
              </a:rPr>
              <a:t>Forecast</a:t>
            </a:r>
          </a:p>
        </c:rich>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Trebuchet MS" panose="020B0603020202020204" pitchFamily="34" charset="0"/>
              <a:ea typeface="+mn-ea"/>
              <a:cs typeface="+mn-cs"/>
            </a:defRPr>
          </a:pPr>
          <a:endParaRPr lang="en-NG"/>
        </a:p>
      </c:txPr>
    </c:title>
    <c:autoTitleDeleted val="0"/>
    <c:plotArea>
      <c:layout/>
      <c:lineChart>
        <c:grouping val="standard"/>
        <c:varyColors val="0"/>
        <c:ser>
          <c:idx val="0"/>
          <c:order val="0"/>
          <c:tx>
            <c:strRef>
              <c:f>'Forecast Analysis'!$B$1</c:f>
              <c:strCache>
                <c:ptCount val="1"/>
                <c:pt idx="0">
                  <c:v>Revenue</c:v>
                </c:pt>
              </c:strCache>
            </c:strRef>
          </c:tx>
          <c:spPr>
            <a:ln w="28575" cap="rnd">
              <a:solidFill>
                <a:srgbClr val="FFC857"/>
              </a:solidFill>
              <a:round/>
            </a:ln>
            <a:effectLst/>
          </c:spPr>
          <c:marker>
            <c:symbol val="none"/>
          </c:marker>
          <c:val>
            <c:numRef>
              <c:f>'Forecast Analysis'!$B$2:$B$85</c:f>
              <c:numCache>
                <c:formatCode>General</c:formatCode>
                <c:ptCount val="84"/>
                <c:pt idx="0">
                  <c:v>145760.5</c:v>
                </c:pt>
                <c:pt idx="1">
                  <c:v>144856.1875</c:v>
                </c:pt>
                <c:pt idx="2">
                  <c:v>151007.375</c:v>
                </c:pt>
                <c:pt idx="3">
                  <c:v>145354.1875</c:v>
                </c:pt>
                <c:pt idx="4">
                  <c:v>148541.875</c:v>
                </c:pt>
                <c:pt idx="5">
                  <c:v>161393.6875</c:v>
                </c:pt>
                <c:pt idx="6">
                  <c:v>144529.9375</c:v>
                </c:pt>
                <c:pt idx="7">
                  <c:v>156329.1875</c:v>
                </c:pt>
                <c:pt idx="8">
                  <c:v>155779.375</c:v>
                </c:pt>
                <c:pt idx="9">
                  <c:v>140108</c:v>
                </c:pt>
                <c:pt idx="10">
                  <c:v>145283.875</c:v>
                </c:pt>
                <c:pt idx="11">
                  <c:v>145638.4375</c:v>
                </c:pt>
                <c:pt idx="12">
                  <c:v>139543.8125</c:v>
                </c:pt>
                <c:pt idx="13">
                  <c:v>146159.0625</c:v>
                </c:pt>
                <c:pt idx="14">
                  <c:v>121933.1875</c:v>
                </c:pt>
                <c:pt idx="15">
                  <c:v>139917</c:v>
                </c:pt>
                <c:pt idx="16">
                  <c:v>142483.8125</c:v>
                </c:pt>
                <c:pt idx="17">
                  <c:v>151618.3125</c:v>
                </c:pt>
                <c:pt idx="18">
                  <c:v>158090.25</c:v>
                </c:pt>
                <c:pt idx="19">
                  <c:v>144944.75</c:v>
                </c:pt>
                <c:pt idx="20">
                  <c:v>145511.6875</c:v>
                </c:pt>
                <c:pt idx="21">
                  <c:v>134347.375</c:v>
                </c:pt>
                <c:pt idx="22">
                  <c:v>144222.5625</c:v>
                </c:pt>
                <c:pt idx="23">
                  <c:v>152590</c:v>
                </c:pt>
                <c:pt idx="24">
                  <c:v>141953.5625</c:v>
                </c:pt>
                <c:pt idx="25">
                  <c:v>135795.5</c:v>
                </c:pt>
                <c:pt idx="26">
                  <c:v>161840.8125</c:v>
                </c:pt>
                <c:pt idx="27">
                  <c:v>156126.8125</c:v>
                </c:pt>
                <c:pt idx="28">
                  <c:v>151692.375</c:v>
                </c:pt>
                <c:pt idx="29">
                  <c:v>144948.4375</c:v>
                </c:pt>
                <c:pt idx="30">
                  <c:v>156093.75</c:v>
                </c:pt>
                <c:pt idx="31">
                  <c:v>152779.3125</c:v>
                </c:pt>
                <c:pt idx="32">
                  <c:v>153072.5625</c:v>
                </c:pt>
                <c:pt idx="33">
                  <c:v>150138.125</c:v>
                </c:pt>
                <c:pt idx="34">
                  <c:v>149644.0625</c:v>
                </c:pt>
                <c:pt idx="35">
                  <c:v>147782.1875</c:v>
                </c:pt>
                <c:pt idx="36">
                  <c:v>146331.375</c:v>
                </c:pt>
                <c:pt idx="37">
                  <c:v>147644</c:v>
                </c:pt>
                <c:pt idx="38">
                  <c:v>133731.875</c:v>
                </c:pt>
                <c:pt idx="39">
                  <c:v>153380.5</c:v>
                </c:pt>
                <c:pt idx="40">
                  <c:v>141036.5625</c:v>
                </c:pt>
                <c:pt idx="41">
                  <c:v>147036.25</c:v>
                </c:pt>
                <c:pt idx="42">
                  <c:v>145631.375</c:v>
                </c:pt>
                <c:pt idx="43">
                  <c:v>160043.25</c:v>
                </c:pt>
                <c:pt idx="44">
                  <c:v>151777.4375</c:v>
                </c:pt>
                <c:pt idx="45">
                  <c:v>150023.875</c:v>
                </c:pt>
                <c:pt idx="46">
                  <c:v>162178.625</c:v>
                </c:pt>
                <c:pt idx="47">
                  <c:v>149916.625</c:v>
                </c:pt>
                <c:pt idx="48">
                  <c:v>149738.3125</c:v>
                </c:pt>
                <c:pt idx="49">
                  <c:v>146698</c:v>
                </c:pt>
                <c:pt idx="50">
                  <c:v>148689.1875</c:v>
                </c:pt>
                <c:pt idx="51">
                  <c:v>154685.8125</c:v>
                </c:pt>
                <c:pt idx="52">
                  <c:v>155831.5</c:v>
                </c:pt>
                <c:pt idx="53">
                  <c:v>152948.375</c:v>
                </c:pt>
                <c:pt idx="54">
                  <c:v>158976.75</c:v>
                </c:pt>
                <c:pt idx="55">
                  <c:v>147296.125</c:v>
                </c:pt>
                <c:pt idx="56">
                  <c:v>152039.375</c:v>
                </c:pt>
                <c:pt idx="57">
                  <c:v>141524.9375</c:v>
                </c:pt>
                <c:pt idx="58">
                  <c:v>158085</c:v>
                </c:pt>
                <c:pt idx="59">
                  <c:v>151127.8125</c:v>
                </c:pt>
              </c:numCache>
            </c:numRef>
          </c:val>
          <c:smooth val="0"/>
          <c:extLst>
            <c:ext xmlns:c16="http://schemas.microsoft.com/office/drawing/2014/chart" uri="{C3380CC4-5D6E-409C-BE32-E72D297353CC}">
              <c16:uniqueId val="{00000000-8395-42F5-8C41-C89C9BD355ED}"/>
            </c:ext>
          </c:extLst>
        </c:ser>
        <c:ser>
          <c:idx val="1"/>
          <c:order val="1"/>
          <c:tx>
            <c:strRef>
              <c:f>'Forecast Analysis'!$C$1</c:f>
              <c:strCache>
                <c:ptCount val="1"/>
                <c:pt idx="0">
                  <c:v>Forecast(Revenue)</c:v>
                </c:pt>
              </c:strCache>
            </c:strRef>
          </c:tx>
          <c:spPr>
            <a:ln w="25400" cap="rnd">
              <a:solidFill>
                <a:srgbClr val="FF6B6B"/>
              </a:solidFill>
              <a:round/>
            </a:ln>
            <a:effectLst/>
          </c:spPr>
          <c:marker>
            <c:symbol val="none"/>
          </c:marker>
          <c:cat>
            <c:numRef>
              <c:f>'Forecast Analysis'!$A$2:$A$85</c:f>
              <c:numCache>
                <c:formatCode>m/d/yyyy</c:formatCode>
                <c:ptCount val="84"/>
                <c:pt idx="0">
                  <c:v>43131</c:v>
                </c:pt>
                <c:pt idx="1">
                  <c:v>43159</c:v>
                </c:pt>
                <c:pt idx="2">
                  <c:v>43190</c:v>
                </c:pt>
                <c:pt idx="3">
                  <c:v>43220</c:v>
                </c:pt>
                <c:pt idx="4">
                  <c:v>43251</c:v>
                </c:pt>
                <c:pt idx="5">
                  <c:v>43281</c:v>
                </c:pt>
                <c:pt idx="6">
                  <c:v>43312</c:v>
                </c:pt>
                <c:pt idx="7">
                  <c:v>43343</c:v>
                </c:pt>
                <c:pt idx="8">
                  <c:v>43373</c:v>
                </c:pt>
                <c:pt idx="9">
                  <c:v>43404</c:v>
                </c:pt>
                <c:pt idx="10">
                  <c:v>43434</c:v>
                </c:pt>
                <c:pt idx="11">
                  <c:v>43465</c:v>
                </c:pt>
                <c:pt idx="12">
                  <c:v>43496</c:v>
                </c:pt>
                <c:pt idx="13">
                  <c:v>43524</c:v>
                </c:pt>
                <c:pt idx="14">
                  <c:v>43555</c:v>
                </c:pt>
                <c:pt idx="15">
                  <c:v>43585</c:v>
                </c:pt>
                <c:pt idx="16">
                  <c:v>43616</c:v>
                </c:pt>
                <c:pt idx="17">
                  <c:v>43646</c:v>
                </c:pt>
                <c:pt idx="18">
                  <c:v>43677</c:v>
                </c:pt>
                <c:pt idx="19">
                  <c:v>43708</c:v>
                </c:pt>
                <c:pt idx="20">
                  <c:v>43738</c:v>
                </c:pt>
                <c:pt idx="21">
                  <c:v>43769</c:v>
                </c:pt>
                <c:pt idx="22">
                  <c:v>43799</c:v>
                </c:pt>
                <c:pt idx="23">
                  <c:v>43830</c:v>
                </c:pt>
                <c:pt idx="24">
                  <c:v>43861</c:v>
                </c:pt>
                <c:pt idx="25">
                  <c:v>43890</c:v>
                </c:pt>
                <c:pt idx="26">
                  <c:v>43921</c:v>
                </c:pt>
                <c:pt idx="27">
                  <c:v>43951</c:v>
                </c:pt>
                <c:pt idx="28">
                  <c:v>43982</c:v>
                </c:pt>
                <c:pt idx="29">
                  <c:v>44012</c:v>
                </c:pt>
                <c:pt idx="30">
                  <c:v>44043</c:v>
                </c:pt>
                <c:pt idx="31">
                  <c:v>44074</c:v>
                </c:pt>
                <c:pt idx="32">
                  <c:v>44104</c:v>
                </c:pt>
                <c:pt idx="33">
                  <c:v>44135</c:v>
                </c:pt>
                <c:pt idx="34">
                  <c:v>44165</c:v>
                </c:pt>
                <c:pt idx="35">
                  <c:v>44196</c:v>
                </c:pt>
                <c:pt idx="36">
                  <c:v>44227</c:v>
                </c:pt>
                <c:pt idx="37">
                  <c:v>44255</c:v>
                </c:pt>
                <c:pt idx="38">
                  <c:v>44286</c:v>
                </c:pt>
                <c:pt idx="39">
                  <c:v>44316</c:v>
                </c:pt>
                <c:pt idx="40">
                  <c:v>44347</c:v>
                </c:pt>
                <c:pt idx="41">
                  <c:v>44377</c:v>
                </c:pt>
                <c:pt idx="42">
                  <c:v>44408</c:v>
                </c:pt>
                <c:pt idx="43">
                  <c:v>44439</c:v>
                </c:pt>
                <c:pt idx="44">
                  <c:v>44469</c:v>
                </c:pt>
                <c:pt idx="45">
                  <c:v>44500</c:v>
                </c:pt>
                <c:pt idx="46">
                  <c:v>44530</c:v>
                </c:pt>
                <c:pt idx="47">
                  <c:v>44561</c:v>
                </c:pt>
                <c:pt idx="48">
                  <c:v>44592</c:v>
                </c:pt>
                <c:pt idx="49">
                  <c:v>44620</c:v>
                </c:pt>
                <c:pt idx="50">
                  <c:v>44651</c:v>
                </c:pt>
                <c:pt idx="51">
                  <c:v>44681</c:v>
                </c:pt>
                <c:pt idx="52">
                  <c:v>44712</c:v>
                </c:pt>
                <c:pt idx="53">
                  <c:v>44742</c:v>
                </c:pt>
                <c:pt idx="54">
                  <c:v>44773</c:v>
                </c:pt>
                <c:pt idx="55">
                  <c:v>44804</c:v>
                </c:pt>
                <c:pt idx="56">
                  <c:v>44834</c:v>
                </c:pt>
                <c:pt idx="57">
                  <c:v>44865</c:v>
                </c:pt>
                <c:pt idx="58">
                  <c:v>44895</c:v>
                </c:pt>
                <c:pt idx="59">
                  <c:v>44926</c:v>
                </c:pt>
                <c:pt idx="60">
                  <c:v>44957</c:v>
                </c:pt>
                <c:pt idx="61">
                  <c:v>44988</c:v>
                </c:pt>
                <c:pt idx="62">
                  <c:v>45016</c:v>
                </c:pt>
                <c:pt idx="63">
                  <c:v>45047</c:v>
                </c:pt>
                <c:pt idx="64">
                  <c:v>45077</c:v>
                </c:pt>
                <c:pt idx="65">
                  <c:v>45108</c:v>
                </c:pt>
                <c:pt idx="66">
                  <c:v>45138</c:v>
                </c:pt>
                <c:pt idx="67">
                  <c:v>45169</c:v>
                </c:pt>
                <c:pt idx="68">
                  <c:v>45200</c:v>
                </c:pt>
                <c:pt idx="69">
                  <c:v>45230</c:v>
                </c:pt>
                <c:pt idx="70">
                  <c:v>45261</c:v>
                </c:pt>
                <c:pt idx="71">
                  <c:v>45291</c:v>
                </c:pt>
                <c:pt idx="72">
                  <c:v>45322</c:v>
                </c:pt>
                <c:pt idx="73">
                  <c:v>45353</c:v>
                </c:pt>
                <c:pt idx="74">
                  <c:v>45382</c:v>
                </c:pt>
                <c:pt idx="75">
                  <c:v>45413</c:v>
                </c:pt>
                <c:pt idx="76">
                  <c:v>45443</c:v>
                </c:pt>
                <c:pt idx="77">
                  <c:v>45474</c:v>
                </c:pt>
                <c:pt idx="78">
                  <c:v>45504</c:v>
                </c:pt>
                <c:pt idx="79">
                  <c:v>45535</c:v>
                </c:pt>
                <c:pt idx="80">
                  <c:v>45566</c:v>
                </c:pt>
                <c:pt idx="81">
                  <c:v>45596</c:v>
                </c:pt>
                <c:pt idx="82">
                  <c:v>45627</c:v>
                </c:pt>
                <c:pt idx="83">
                  <c:v>45657</c:v>
                </c:pt>
              </c:numCache>
            </c:numRef>
          </c:cat>
          <c:val>
            <c:numRef>
              <c:f>'Forecast Analysis'!$C$2:$C$85</c:f>
              <c:numCache>
                <c:formatCode>General</c:formatCode>
                <c:ptCount val="84"/>
                <c:pt idx="59">
                  <c:v>151127.8125</c:v>
                </c:pt>
                <c:pt idx="60">
                  <c:v>146877.85466079568</c:v>
                </c:pt>
                <c:pt idx="61">
                  <c:v>147445.80702237101</c:v>
                </c:pt>
                <c:pt idx="62">
                  <c:v>143463.80202626143</c:v>
                </c:pt>
                <c:pt idx="63">
                  <c:v>153911.72291744442</c:v>
                </c:pt>
                <c:pt idx="64">
                  <c:v>148831.5048410882</c:v>
                </c:pt>
                <c:pt idx="65">
                  <c:v>157809.63972046427</c:v>
                </c:pt>
                <c:pt idx="66">
                  <c:v>157985.84078976233</c:v>
                </c:pt>
                <c:pt idx="67">
                  <c:v>156460.88540760518</c:v>
                </c:pt>
                <c:pt idx="68">
                  <c:v>156497.46649096583</c:v>
                </c:pt>
                <c:pt idx="69">
                  <c:v>146334.85984626596</c:v>
                </c:pt>
                <c:pt idx="70">
                  <c:v>151192.40711591314</c:v>
                </c:pt>
                <c:pt idx="71">
                  <c:v>153699.92596937268</c:v>
                </c:pt>
                <c:pt idx="72">
                  <c:v>147687.5608204873</c:v>
                </c:pt>
                <c:pt idx="73">
                  <c:v>148255.51318206263</c:v>
                </c:pt>
                <c:pt idx="74">
                  <c:v>144273.50818595305</c:v>
                </c:pt>
                <c:pt idx="75">
                  <c:v>154721.42907713607</c:v>
                </c:pt>
                <c:pt idx="76">
                  <c:v>149641.21100077985</c:v>
                </c:pt>
                <c:pt idx="77">
                  <c:v>158619.34588015592</c:v>
                </c:pt>
                <c:pt idx="78">
                  <c:v>158795.54694945397</c:v>
                </c:pt>
                <c:pt idx="79">
                  <c:v>157270.5915672968</c:v>
                </c:pt>
                <c:pt idx="80">
                  <c:v>157307.17265065745</c:v>
                </c:pt>
                <c:pt idx="81">
                  <c:v>147144.56600595757</c:v>
                </c:pt>
                <c:pt idx="82">
                  <c:v>152002.11327560476</c:v>
                </c:pt>
                <c:pt idx="83">
                  <c:v>154509.63212906432</c:v>
                </c:pt>
              </c:numCache>
            </c:numRef>
          </c:val>
          <c:smooth val="0"/>
          <c:extLst>
            <c:ext xmlns:c16="http://schemas.microsoft.com/office/drawing/2014/chart" uri="{C3380CC4-5D6E-409C-BE32-E72D297353CC}">
              <c16:uniqueId val="{00000001-8395-42F5-8C41-C89C9BD355ED}"/>
            </c:ext>
          </c:extLst>
        </c:ser>
        <c:ser>
          <c:idx val="2"/>
          <c:order val="2"/>
          <c:tx>
            <c:strRef>
              <c:f>'Forecast Analysis'!$D$1</c:f>
              <c:strCache>
                <c:ptCount val="1"/>
                <c:pt idx="0">
                  <c:v>Lower Confidence Bound(Revenue)</c:v>
                </c:pt>
              </c:strCache>
            </c:strRef>
          </c:tx>
          <c:spPr>
            <a:ln w="12700" cap="rnd">
              <a:solidFill>
                <a:srgbClr val="FF6B6B"/>
              </a:solidFill>
              <a:prstDash val="solid"/>
              <a:round/>
            </a:ln>
            <a:effectLst/>
          </c:spPr>
          <c:marker>
            <c:symbol val="none"/>
          </c:marker>
          <c:cat>
            <c:numRef>
              <c:f>'Forecast Analysis'!$A$2:$A$85</c:f>
              <c:numCache>
                <c:formatCode>m/d/yyyy</c:formatCode>
                <c:ptCount val="84"/>
                <c:pt idx="0">
                  <c:v>43131</c:v>
                </c:pt>
                <c:pt idx="1">
                  <c:v>43159</c:v>
                </c:pt>
                <c:pt idx="2">
                  <c:v>43190</c:v>
                </c:pt>
                <c:pt idx="3">
                  <c:v>43220</c:v>
                </c:pt>
                <c:pt idx="4">
                  <c:v>43251</c:v>
                </c:pt>
                <c:pt idx="5">
                  <c:v>43281</c:v>
                </c:pt>
                <c:pt idx="6">
                  <c:v>43312</c:v>
                </c:pt>
                <c:pt idx="7">
                  <c:v>43343</c:v>
                </c:pt>
                <c:pt idx="8">
                  <c:v>43373</c:v>
                </c:pt>
                <c:pt idx="9">
                  <c:v>43404</c:v>
                </c:pt>
                <c:pt idx="10">
                  <c:v>43434</c:v>
                </c:pt>
                <c:pt idx="11">
                  <c:v>43465</c:v>
                </c:pt>
                <c:pt idx="12">
                  <c:v>43496</c:v>
                </c:pt>
                <c:pt idx="13">
                  <c:v>43524</c:v>
                </c:pt>
                <c:pt idx="14">
                  <c:v>43555</c:v>
                </c:pt>
                <c:pt idx="15">
                  <c:v>43585</c:v>
                </c:pt>
                <c:pt idx="16">
                  <c:v>43616</c:v>
                </c:pt>
                <c:pt idx="17">
                  <c:v>43646</c:v>
                </c:pt>
                <c:pt idx="18">
                  <c:v>43677</c:v>
                </c:pt>
                <c:pt idx="19">
                  <c:v>43708</c:v>
                </c:pt>
                <c:pt idx="20">
                  <c:v>43738</c:v>
                </c:pt>
                <c:pt idx="21">
                  <c:v>43769</c:v>
                </c:pt>
                <c:pt idx="22">
                  <c:v>43799</c:v>
                </c:pt>
                <c:pt idx="23">
                  <c:v>43830</c:v>
                </c:pt>
                <c:pt idx="24">
                  <c:v>43861</c:v>
                </c:pt>
                <c:pt idx="25">
                  <c:v>43890</c:v>
                </c:pt>
                <c:pt idx="26">
                  <c:v>43921</c:v>
                </c:pt>
                <c:pt idx="27">
                  <c:v>43951</c:v>
                </c:pt>
                <c:pt idx="28">
                  <c:v>43982</c:v>
                </c:pt>
                <c:pt idx="29">
                  <c:v>44012</c:v>
                </c:pt>
                <c:pt idx="30">
                  <c:v>44043</c:v>
                </c:pt>
                <c:pt idx="31">
                  <c:v>44074</c:v>
                </c:pt>
                <c:pt idx="32">
                  <c:v>44104</c:v>
                </c:pt>
                <c:pt idx="33">
                  <c:v>44135</c:v>
                </c:pt>
                <c:pt idx="34">
                  <c:v>44165</c:v>
                </c:pt>
                <c:pt idx="35">
                  <c:v>44196</c:v>
                </c:pt>
                <c:pt idx="36">
                  <c:v>44227</c:v>
                </c:pt>
                <c:pt idx="37">
                  <c:v>44255</c:v>
                </c:pt>
                <c:pt idx="38">
                  <c:v>44286</c:v>
                </c:pt>
                <c:pt idx="39">
                  <c:v>44316</c:v>
                </c:pt>
                <c:pt idx="40">
                  <c:v>44347</c:v>
                </c:pt>
                <c:pt idx="41">
                  <c:v>44377</c:v>
                </c:pt>
                <c:pt idx="42">
                  <c:v>44408</c:v>
                </c:pt>
                <c:pt idx="43">
                  <c:v>44439</c:v>
                </c:pt>
                <c:pt idx="44">
                  <c:v>44469</c:v>
                </c:pt>
                <c:pt idx="45">
                  <c:v>44500</c:v>
                </c:pt>
                <c:pt idx="46">
                  <c:v>44530</c:v>
                </c:pt>
                <c:pt idx="47">
                  <c:v>44561</c:v>
                </c:pt>
                <c:pt idx="48">
                  <c:v>44592</c:v>
                </c:pt>
                <c:pt idx="49">
                  <c:v>44620</c:v>
                </c:pt>
                <c:pt idx="50">
                  <c:v>44651</c:v>
                </c:pt>
                <c:pt idx="51">
                  <c:v>44681</c:v>
                </c:pt>
                <c:pt idx="52">
                  <c:v>44712</c:v>
                </c:pt>
                <c:pt idx="53">
                  <c:v>44742</c:v>
                </c:pt>
                <c:pt idx="54">
                  <c:v>44773</c:v>
                </c:pt>
                <c:pt idx="55">
                  <c:v>44804</c:v>
                </c:pt>
                <c:pt idx="56">
                  <c:v>44834</c:v>
                </c:pt>
                <c:pt idx="57">
                  <c:v>44865</c:v>
                </c:pt>
                <c:pt idx="58">
                  <c:v>44895</c:v>
                </c:pt>
                <c:pt idx="59">
                  <c:v>44926</c:v>
                </c:pt>
                <c:pt idx="60">
                  <c:v>44957</c:v>
                </c:pt>
                <c:pt idx="61">
                  <c:v>44988</c:v>
                </c:pt>
                <c:pt idx="62">
                  <c:v>45016</c:v>
                </c:pt>
                <c:pt idx="63">
                  <c:v>45047</c:v>
                </c:pt>
                <c:pt idx="64">
                  <c:v>45077</c:v>
                </c:pt>
                <c:pt idx="65">
                  <c:v>45108</c:v>
                </c:pt>
                <c:pt idx="66">
                  <c:v>45138</c:v>
                </c:pt>
                <c:pt idx="67">
                  <c:v>45169</c:v>
                </c:pt>
                <c:pt idx="68">
                  <c:v>45200</c:v>
                </c:pt>
                <c:pt idx="69">
                  <c:v>45230</c:v>
                </c:pt>
                <c:pt idx="70">
                  <c:v>45261</c:v>
                </c:pt>
                <c:pt idx="71">
                  <c:v>45291</c:v>
                </c:pt>
                <c:pt idx="72">
                  <c:v>45322</c:v>
                </c:pt>
                <c:pt idx="73">
                  <c:v>45353</c:v>
                </c:pt>
                <c:pt idx="74">
                  <c:v>45382</c:v>
                </c:pt>
                <c:pt idx="75">
                  <c:v>45413</c:v>
                </c:pt>
                <c:pt idx="76">
                  <c:v>45443</c:v>
                </c:pt>
                <c:pt idx="77">
                  <c:v>45474</c:v>
                </c:pt>
                <c:pt idx="78">
                  <c:v>45504</c:v>
                </c:pt>
                <c:pt idx="79">
                  <c:v>45535</c:v>
                </c:pt>
                <c:pt idx="80">
                  <c:v>45566</c:v>
                </c:pt>
                <c:pt idx="81">
                  <c:v>45596</c:v>
                </c:pt>
                <c:pt idx="82">
                  <c:v>45627</c:v>
                </c:pt>
                <c:pt idx="83">
                  <c:v>45657</c:v>
                </c:pt>
              </c:numCache>
            </c:numRef>
          </c:cat>
          <c:val>
            <c:numRef>
              <c:f>'Forecast Analysis'!$D$2:$D$85</c:f>
              <c:numCache>
                <c:formatCode>General</c:formatCode>
                <c:ptCount val="84"/>
                <c:pt idx="59" formatCode="0.00">
                  <c:v>151127.8125</c:v>
                </c:pt>
                <c:pt idx="60" formatCode="0.00">
                  <c:v>133379.6941411435</c:v>
                </c:pt>
                <c:pt idx="61" formatCode="0.00">
                  <c:v>133839.2260169732</c:v>
                </c:pt>
                <c:pt idx="62" formatCode="0.00">
                  <c:v>129747.96384609002</c:v>
                </c:pt>
                <c:pt idx="63" formatCode="0.00">
                  <c:v>140085.79753070956</c:v>
                </c:pt>
                <c:pt idx="64" formatCode="0.00">
                  <c:v>134894.66881199391</c:v>
                </c:pt>
                <c:pt idx="65" formatCode="0.00">
                  <c:v>143761.07614648179</c:v>
                </c:pt>
                <c:pt idx="66" formatCode="0.00">
                  <c:v>143824.739237576</c:v>
                </c:pt>
                <c:pt idx="67" formatCode="0.00">
                  <c:v>142186.44184787734</c:v>
                </c:pt>
                <c:pt idx="68" formatCode="0.00">
                  <c:v>142108.88323205995</c:v>
                </c:pt>
                <c:pt idx="69" formatCode="0.00">
                  <c:v>131831.3454670597</c:v>
                </c:pt>
                <c:pt idx="70" formatCode="0.00">
                  <c:v>136573.17639782617</c:v>
                </c:pt>
                <c:pt idx="71" formatCode="0.00">
                  <c:v>138964.19982772678</c:v>
                </c:pt>
                <c:pt idx="72" formatCode="0.00">
                  <c:v>132832.86736552944</c:v>
                </c:pt>
                <c:pt idx="73" formatCode="0.00">
                  <c:v>133282.79765147335</c:v>
                </c:pt>
                <c:pt idx="74" formatCode="0.00">
                  <c:v>129182.00935471465</c:v>
                </c:pt>
                <c:pt idx="75" formatCode="0.00">
                  <c:v>139510.39157532825</c:v>
                </c:pt>
                <c:pt idx="76" formatCode="0.00">
                  <c:v>134309.8852432002</c:v>
                </c:pt>
                <c:pt idx="77" formatCode="0.00">
                  <c:v>143166.9879958455</c:v>
                </c:pt>
                <c:pt idx="78" formatCode="0.00">
                  <c:v>143221.41871120472</c:v>
                </c:pt>
                <c:pt idx="79" formatCode="0.00">
                  <c:v>141573.9603212119</c:v>
                </c:pt>
                <c:pt idx="80" formatCode="0.00">
                  <c:v>141487.31124583181</c:v>
                </c:pt>
                <c:pt idx="81" formatCode="0.00">
                  <c:v>131200.75272434024</c:v>
                </c:pt>
                <c:pt idx="82" formatCode="0.00">
                  <c:v>135933.63176210137</c:v>
                </c:pt>
                <c:pt idx="83" formatCode="0.00">
                  <c:v>138315.77132193328</c:v>
                </c:pt>
              </c:numCache>
            </c:numRef>
          </c:val>
          <c:smooth val="0"/>
          <c:extLst>
            <c:ext xmlns:c16="http://schemas.microsoft.com/office/drawing/2014/chart" uri="{C3380CC4-5D6E-409C-BE32-E72D297353CC}">
              <c16:uniqueId val="{00000002-8395-42F5-8C41-C89C9BD355ED}"/>
            </c:ext>
          </c:extLst>
        </c:ser>
        <c:ser>
          <c:idx val="3"/>
          <c:order val="3"/>
          <c:tx>
            <c:strRef>
              <c:f>'Forecast Analysis'!$E$1</c:f>
              <c:strCache>
                <c:ptCount val="1"/>
                <c:pt idx="0">
                  <c:v>Upper Confidence Bound(Revenue)</c:v>
                </c:pt>
              </c:strCache>
            </c:strRef>
          </c:tx>
          <c:spPr>
            <a:ln w="12700" cap="rnd">
              <a:solidFill>
                <a:srgbClr val="FF6B6B"/>
              </a:solidFill>
              <a:prstDash val="solid"/>
              <a:round/>
            </a:ln>
            <a:effectLst/>
          </c:spPr>
          <c:marker>
            <c:symbol val="none"/>
          </c:marker>
          <c:cat>
            <c:numRef>
              <c:f>'Forecast Analysis'!$A$2:$A$85</c:f>
              <c:numCache>
                <c:formatCode>m/d/yyyy</c:formatCode>
                <c:ptCount val="84"/>
                <c:pt idx="0">
                  <c:v>43131</c:v>
                </c:pt>
                <c:pt idx="1">
                  <c:v>43159</c:v>
                </c:pt>
                <c:pt idx="2">
                  <c:v>43190</c:v>
                </c:pt>
                <c:pt idx="3">
                  <c:v>43220</c:v>
                </c:pt>
                <c:pt idx="4">
                  <c:v>43251</c:v>
                </c:pt>
                <c:pt idx="5">
                  <c:v>43281</c:v>
                </c:pt>
                <c:pt idx="6">
                  <c:v>43312</c:v>
                </c:pt>
                <c:pt idx="7">
                  <c:v>43343</c:v>
                </c:pt>
                <c:pt idx="8">
                  <c:v>43373</c:v>
                </c:pt>
                <c:pt idx="9">
                  <c:v>43404</c:v>
                </c:pt>
                <c:pt idx="10">
                  <c:v>43434</c:v>
                </c:pt>
                <c:pt idx="11">
                  <c:v>43465</c:v>
                </c:pt>
                <c:pt idx="12">
                  <c:v>43496</c:v>
                </c:pt>
                <c:pt idx="13">
                  <c:v>43524</c:v>
                </c:pt>
                <c:pt idx="14">
                  <c:v>43555</c:v>
                </c:pt>
                <c:pt idx="15">
                  <c:v>43585</c:v>
                </c:pt>
                <c:pt idx="16">
                  <c:v>43616</c:v>
                </c:pt>
                <c:pt idx="17">
                  <c:v>43646</c:v>
                </c:pt>
                <c:pt idx="18">
                  <c:v>43677</c:v>
                </c:pt>
                <c:pt idx="19">
                  <c:v>43708</c:v>
                </c:pt>
                <c:pt idx="20">
                  <c:v>43738</c:v>
                </c:pt>
                <c:pt idx="21">
                  <c:v>43769</c:v>
                </c:pt>
                <c:pt idx="22">
                  <c:v>43799</c:v>
                </c:pt>
                <c:pt idx="23">
                  <c:v>43830</c:v>
                </c:pt>
                <c:pt idx="24">
                  <c:v>43861</c:v>
                </c:pt>
                <c:pt idx="25">
                  <c:v>43890</c:v>
                </c:pt>
                <c:pt idx="26">
                  <c:v>43921</c:v>
                </c:pt>
                <c:pt idx="27">
                  <c:v>43951</c:v>
                </c:pt>
                <c:pt idx="28">
                  <c:v>43982</c:v>
                </c:pt>
                <c:pt idx="29">
                  <c:v>44012</c:v>
                </c:pt>
                <c:pt idx="30">
                  <c:v>44043</c:v>
                </c:pt>
                <c:pt idx="31">
                  <c:v>44074</c:v>
                </c:pt>
                <c:pt idx="32">
                  <c:v>44104</c:v>
                </c:pt>
                <c:pt idx="33">
                  <c:v>44135</c:v>
                </c:pt>
                <c:pt idx="34">
                  <c:v>44165</c:v>
                </c:pt>
                <c:pt idx="35">
                  <c:v>44196</c:v>
                </c:pt>
                <c:pt idx="36">
                  <c:v>44227</c:v>
                </c:pt>
                <c:pt idx="37">
                  <c:v>44255</c:v>
                </c:pt>
                <c:pt idx="38">
                  <c:v>44286</c:v>
                </c:pt>
                <c:pt idx="39">
                  <c:v>44316</c:v>
                </c:pt>
                <c:pt idx="40">
                  <c:v>44347</c:v>
                </c:pt>
                <c:pt idx="41">
                  <c:v>44377</c:v>
                </c:pt>
                <c:pt idx="42">
                  <c:v>44408</c:v>
                </c:pt>
                <c:pt idx="43">
                  <c:v>44439</c:v>
                </c:pt>
                <c:pt idx="44">
                  <c:v>44469</c:v>
                </c:pt>
                <c:pt idx="45">
                  <c:v>44500</c:v>
                </c:pt>
                <c:pt idx="46">
                  <c:v>44530</c:v>
                </c:pt>
                <c:pt idx="47">
                  <c:v>44561</c:v>
                </c:pt>
                <c:pt idx="48">
                  <c:v>44592</c:v>
                </c:pt>
                <c:pt idx="49">
                  <c:v>44620</c:v>
                </c:pt>
                <c:pt idx="50">
                  <c:v>44651</c:v>
                </c:pt>
                <c:pt idx="51">
                  <c:v>44681</c:v>
                </c:pt>
                <c:pt idx="52">
                  <c:v>44712</c:v>
                </c:pt>
                <c:pt idx="53">
                  <c:v>44742</c:v>
                </c:pt>
                <c:pt idx="54">
                  <c:v>44773</c:v>
                </c:pt>
                <c:pt idx="55">
                  <c:v>44804</c:v>
                </c:pt>
                <c:pt idx="56">
                  <c:v>44834</c:v>
                </c:pt>
                <c:pt idx="57">
                  <c:v>44865</c:v>
                </c:pt>
                <c:pt idx="58">
                  <c:v>44895</c:v>
                </c:pt>
                <c:pt idx="59">
                  <c:v>44926</c:v>
                </c:pt>
                <c:pt idx="60">
                  <c:v>44957</c:v>
                </c:pt>
                <c:pt idx="61">
                  <c:v>44988</c:v>
                </c:pt>
                <c:pt idx="62">
                  <c:v>45016</c:v>
                </c:pt>
                <c:pt idx="63">
                  <c:v>45047</c:v>
                </c:pt>
                <c:pt idx="64">
                  <c:v>45077</c:v>
                </c:pt>
                <c:pt idx="65">
                  <c:v>45108</c:v>
                </c:pt>
                <c:pt idx="66">
                  <c:v>45138</c:v>
                </c:pt>
                <c:pt idx="67">
                  <c:v>45169</c:v>
                </c:pt>
                <c:pt idx="68">
                  <c:v>45200</c:v>
                </c:pt>
                <c:pt idx="69">
                  <c:v>45230</c:v>
                </c:pt>
                <c:pt idx="70">
                  <c:v>45261</c:v>
                </c:pt>
                <c:pt idx="71">
                  <c:v>45291</c:v>
                </c:pt>
                <c:pt idx="72">
                  <c:v>45322</c:v>
                </c:pt>
                <c:pt idx="73">
                  <c:v>45353</c:v>
                </c:pt>
                <c:pt idx="74">
                  <c:v>45382</c:v>
                </c:pt>
                <c:pt idx="75">
                  <c:v>45413</c:v>
                </c:pt>
                <c:pt idx="76">
                  <c:v>45443</c:v>
                </c:pt>
                <c:pt idx="77">
                  <c:v>45474</c:v>
                </c:pt>
                <c:pt idx="78">
                  <c:v>45504</c:v>
                </c:pt>
                <c:pt idx="79">
                  <c:v>45535</c:v>
                </c:pt>
                <c:pt idx="80">
                  <c:v>45566</c:v>
                </c:pt>
                <c:pt idx="81">
                  <c:v>45596</c:v>
                </c:pt>
                <c:pt idx="82">
                  <c:v>45627</c:v>
                </c:pt>
                <c:pt idx="83">
                  <c:v>45657</c:v>
                </c:pt>
              </c:numCache>
            </c:numRef>
          </c:cat>
          <c:val>
            <c:numRef>
              <c:f>'Forecast Analysis'!$E$2:$E$85</c:f>
              <c:numCache>
                <c:formatCode>General</c:formatCode>
                <c:ptCount val="84"/>
                <c:pt idx="59" formatCode="0.00">
                  <c:v>151127.8125</c:v>
                </c:pt>
                <c:pt idx="60" formatCode="0.00">
                  <c:v>160376.01518044787</c:v>
                </c:pt>
                <c:pt idx="61" formatCode="0.00">
                  <c:v>161052.38802776881</c:v>
                </c:pt>
                <c:pt idx="62" formatCode="0.00">
                  <c:v>157179.64020643284</c:v>
                </c:pt>
                <c:pt idx="63" formatCode="0.00">
                  <c:v>167737.64830417928</c:v>
                </c:pt>
                <c:pt idx="64" formatCode="0.00">
                  <c:v>162768.3408701825</c:v>
                </c:pt>
                <c:pt idx="65" formatCode="0.00">
                  <c:v>171858.20329444675</c:v>
                </c:pt>
                <c:pt idx="66" formatCode="0.00">
                  <c:v>172146.94234194866</c:v>
                </c:pt>
                <c:pt idx="67" formatCode="0.00">
                  <c:v>170735.32896733301</c:v>
                </c:pt>
                <c:pt idx="68" formatCode="0.00">
                  <c:v>170886.04974987172</c:v>
                </c:pt>
                <c:pt idx="69" formatCode="0.00">
                  <c:v>160838.37422547222</c:v>
                </c:pt>
                <c:pt idx="70" formatCode="0.00">
                  <c:v>165811.63783400011</c:v>
                </c:pt>
                <c:pt idx="71" formatCode="0.00">
                  <c:v>168435.65211101857</c:v>
                </c:pt>
                <c:pt idx="72" formatCode="0.00">
                  <c:v>162542.25427544516</c:v>
                </c:pt>
                <c:pt idx="73" formatCode="0.00">
                  <c:v>163228.22871265191</c:v>
                </c:pt>
                <c:pt idx="74" formatCode="0.00">
                  <c:v>159365.00701719144</c:v>
                </c:pt>
                <c:pt idx="75" formatCode="0.00">
                  <c:v>169932.46657894389</c:v>
                </c:pt>
                <c:pt idx="76" formatCode="0.00">
                  <c:v>164972.53675835949</c:v>
                </c:pt>
                <c:pt idx="77" formatCode="0.00">
                  <c:v>174071.70376446634</c:v>
                </c:pt>
                <c:pt idx="78" formatCode="0.00">
                  <c:v>174369.67518770322</c:v>
                </c:pt>
                <c:pt idx="79" formatCode="0.00">
                  <c:v>172967.2228133817</c:v>
                </c:pt>
                <c:pt idx="80" formatCode="0.00">
                  <c:v>173127.03405548309</c:v>
                </c:pt>
                <c:pt idx="81" formatCode="0.00">
                  <c:v>163088.37928757491</c:v>
                </c:pt>
                <c:pt idx="82" formatCode="0.00">
                  <c:v>168070.59478910815</c:v>
                </c:pt>
                <c:pt idx="83" formatCode="0.00">
                  <c:v>170703.49293619537</c:v>
                </c:pt>
              </c:numCache>
            </c:numRef>
          </c:val>
          <c:smooth val="0"/>
          <c:extLst>
            <c:ext xmlns:c16="http://schemas.microsoft.com/office/drawing/2014/chart" uri="{C3380CC4-5D6E-409C-BE32-E72D297353CC}">
              <c16:uniqueId val="{00000003-8395-42F5-8C41-C89C9BD355ED}"/>
            </c:ext>
          </c:extLst>
        </c:ser>
        <c:dLbls>
          <c:showLegendKey val="0"/>
          <c:showVal val="0"/>
          <c:showCatName val="0"/>
          <c:showSerName val="0"/>
          <c:showPercent val="0"/>
          <c:showBubbleSize val="0"/>
        </c:dLbls>
        <c:smooth val="0"/>
        <c:axId val="707176671"/>
        <c:axId val="707181711"/>
      </c:lineChart>
      <c:catAx>
        <c:axId val="70717667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707181711"/>
        <c:crosses val="autoZero"/>
        <c:auto val="1"/>
        <c:lblAlgn val="ctr"/>
        <c:lblOffset val="100"/>
        <c:noMultiLvlLbl val="0"/>
      </c:catAx>
      <c:valAx>
        <c:axId val="707181711"/>
        <c:scaling>
          <c:orientation val="minMax"/>
        </c:scaling>
        <c:delete val="0"/>
        <c:axPos val="l"/>
        <c:majorGridlines>
          <c:spPr>
            <a:ln w="9525" cap="flat" cmpd="sng" algn="ctr">
              <a:solidFill>
                <a:schemeClr val="bg1">
                  <a:lumMod val="85000"/>
                  <a:alpha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707176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[finance_project.xlsx]Analysis!PivotTable20</c:name>
    <c:fmtId val="11"/>
  </c:pivotSource>
  <c:chart>
    <c:title>
      <c:tx>
        <c:rich>
          <a:bodyPr rot="0" spcFirstLastPara="1" vertOverflow="ellipsis" vert="horz" wrap="square" anchor="ctr" anchorCtr="1"/>
          <a:lstStyle/>
          <a:p>
            <a:pPr>
              <a:defRPr sz="1000" b="0" i="0" u="none" strike="noStrike" kern="1200" spc="0" baseline="0">
                <a:solidFill>
                  <a:sysClr val="windowText" lastClr="000000"/>
                </a:solidFill>
                <a:latin typeface="Trebuchet MS" panose="020B0603020202020204" pitchFamily="34" charset="0"/>
                <a:ea typeface="+mn-ea"/>
                <a:cs typeface="+mn-cs"/>
              </a:defRPr>
            </a:pPr>
            <a:r>
              <a:rPr lang="en-US" sz="1000">
                <a:solidFill>
                  <a:sysClr val="windowText" lastClr="000000"/>
                </a:solidFill>
                <a:latin typeface="Trebuchet MS" panose="020B0603020202020204" pitchFamily="34" charset="0"/>
              </a:rPr>
              <a:t>Net Profit</a:t>
            </a:r>
          </a:p>
        </c:rich>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Trebuchet MS" panose="020B0603020202020204" pitchFamily="34" charset="0"/>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G"/>
            </a:p>
          </c:txPr>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G"/>
            </a:p>
          </c:txPr>
        </c:dLbl>
      </c:pivotFmt>
      <c:pivotFmt>
        <c:idx val="4"/>
        <c:spPr>
          <a:ln w="28575" cap="rnd">
            <a:solidFill>
              <a:srgbClr val="FF6B6B"/>
            </a:solidFill>
            <a:round/>
          </a:ln>
          <a:effectLst>
            <a:outerShdw blurRad="50800" dist="50800" dir="5400000" sx="6000" sy="6000" algn="ctr" rotWithShape="0">
              <a:srgbClr val="000000">
                <a:alpha val="43137"/>
              </a:srgbClr>
            </a:outerShdw>
          </a:effectLst>
        </c:spPr>
        <c:marker>
          <c:symbol val="circle"/>
          <c:size val="5"/>
          <c:spPr>
            <a:solidFill>
              <a:srgbClr val="FF6B6B"/>
            </a:solidFill>
            <a:ln w="9525">
              <a:solidFill>
                <a:srgbClr val="FF6B6B"/>
              </a:solidFill>
            </a:ln>
            <a:effectLst>
              <a:outerShdw blurRad="50800" dist="50800" dir="5400000" sx="6000" sy="6000" algn="ctr" rotWithShape="0">
                <a:srgbClr val="000000">
                  <a:alpha val="43137"/>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F6B6B"/>
            </a:solidFill>
            <a:round/>
          </a:ln>
          <a:effectLst>
            <a:outerShdw blurRad="50800" dist="50800" dir="5400000" sx="6000" sy="6000" algn="ctr" rotWithShape="0">
              <a:srgbClr val="000000">
                <a:alpha val="43137"/>
              </a:srgbClr>
            </a:outerShdw>
          </a:effectLst>
        </c:spPr>
        <c:marker>
          <c:symbol val="circle"/>
          <c:size val="5"/>
          <c:spPr>
            <a:solidFill>
              <a:srgbClr val="FF6B6B"/>
            </a:solidFill>
            <a:ln w="9525">
              <a:solidFill>
                <a:srgbClr val="FF6B6B"/>
              </a:solidFill>
            </a:ln>
            <a:effectLst>
              <a:outerShdw blurRad="50800" dist="50800" dir="5400000" sx="6000" sy="6000" algn="ctr" rotWithShape="0">
                <a:srgbClr val="000000">
                  <a:alpha val="43137"/>
                </a:srgbClr>
              </a:outerShdw>
            </a:effectLst>
          </c:spPr>
        </c:marker>
      </c:pivotFmt>
    </c:pivotFmts>
    <c:plotArea>
      <c:layout/>
      <c:lineChart>
        <c:grouping val="standard"/>
        <c:varyColors val="0"/>
        <c:ser>
          <c:idx val="0"/>
          <c:order val="0"/>
          <c:tx>
            <c:strRef>
              <c:f>Analysis!$B$3</c:f>
              <c:strCache>
                <c:ptCount val="1"/>
                <c:pt idx="0">
                  <c:v>Total</c:v>
                </c:pt>
              </c:strCache>
            </c:strRef>
          </c:tx>
          <c:spPr>
            <a:ln w="28575" cap="rnd">
              <a:solidFill>
                <a:srgbClr val="FF6B6B"/>
              </a:solidFill>
              <a:round/>
            </a:ln>
            <a:effectLst>
              <a:outerShdw blurRad="50800" dist="50800" dir="5400000" sx="6000" sy="6000" algn="ctr" rotWithShape="0">
                <a:srgbClr val="000000">
                  <a:alpha val="43137"/>
                </a:srgbClr>
              </a:outerShdw>
            </a:effectLst>
          </c:spPr>
          <c:marker>
            <c:symbol val="circle"/>
            <c:size val="5"/>
            <c:spPr>
              <a:solidFill>
                <a:srgbClr val="FF6B6B"/>
              </a:solidFill>
              <a:ln w="9525">
                <a:solidFill>
                  <a:srgbClr val="FF6B6B"/>
                </a:solidFill>
              </a:ln>
              <a:effectLst>
                <a:outerShdw blurRad="50800" dist="50800" dir="5400000" sx="6000" sy="6000" algn="ctr" rotWithShape="0">
                  <a:srgbClr val="000000">
                    <a:alpha val="43137"/>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Analysis!$A$4:$A$9</c:f>
              <c:strCache>
                <c:ptCount val="5"/>
                <c:pt idx="0">
                  <c:v>2018</c:v>
                </c:pt>
                <c:pt idx="1">
                  <c:v>2019</c:v>
                </c:pt>
                <c:pt idx="2">
                  <c:v>2020</c:v>
                </c:pt>
                <c:pt idx="3">
                  <c:v>2021</c:v>
                </c:pt>
                <c:pt idx="4">
                  <c:v>2022</c:v>
                </c:pt>
              </c:strCache>
            </c:strRef>
          </c:cat>
          <c:val>
            <c:numRef>
              <c:f>Analysis!$B$4:$B$9</c:f>
              <c:numCache>
                <c:formatCode>_-[$$-409]* #,##0.0_ ;_-[$$-409]* \-#,##0.0\ ;_-[$$-409]* "-"??_ ;_-@_ </c:formatCode>
                <c:ptCount val="5"/>
                <c:pt idx="0">
                  <c:v>5312157</c:v>
                </c:pt>
                <c:pt idx="1">
                  <c:v>3917431</c:v>
                </c:pt>
                <c:pt idx="2">
                  <c:v>5739834</c:v>
                </c:pt>
                <c:pt idx="3">
                  <c:v>5326238</c:v>
                </c:pt>
                <c:pt idx="4">
                  <c:v>5947469</c:v>
                </c:pt>
              </c:numCache>
            </c:numRef>
          </c:val>
          <c:smooth val="1"/>
          <c:extLst>
            <c:ext xmlns:c16="http://schemas.microsoft.com/office/drawing/2014/chart" uri="{C3380CC4-5D6E-409C-BE32-E72D297353CC}">
              <c16:uniqueId val="{00000000-C2DE-44AF-B23B-B0E27EFD269A}"/>
            </c:ext>
          </c:extLst>
        </c:ser>
        <c:dLbls>
          <c:dLblPos val="t"/>
          <c:showLegendKey val="0"/>
          <c:showVal val="1"/>
          <c:showCatName val="0"/>
          <c:showSerName val="0"/>
          <c:showPercent val="0"/>
          <c:showBubbleSize val="0"/>
        </c:dLbls>
        <c:marker val="1"/>
        <c:smooth val="0"/>
        <c:axId val="1338923384"/>
        <c:axId val="1338920504"/>
      </c:lineChart>
      <c:catAx>
        <c:axId val="1338923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NG"/>
          </a:p>
        </c:txPr>
        <c:crossAx val="1338920504"/>
        <c:crosses val="autoZero"/>
        <c:auto val="1"/>
        <c:lblAlgn val="ctr"/>
        <c:lblOffset val="100"/>
        <c:noMultiLvlLbl val="0"/>
      </c:catAx>
      <c:valAx>
        <c:axId val="1338920504"/>
        <c:scaling>
          <c:orientation val="minMax"/>
        </c:scaling>
        <c:delete val="0"/>
        <c:axPos val="l"/>
        <c:majorGridlines>
          <c:spPr>
            <a:ln w="9525" cap="flat" cmpd="sng" algn="ctr">
              <a:solidFill>
                <a:schemeClr val="bg1">
                  <a:lumMod val="85000"/>
                  <a:alpha val="50000"/>
                </a:schemeClr>
              </a:solidFill>
              <a:round/>
            </a:ln>
            <a:effectLst/>
          </c:spPr>
        </c:majorGridlines>
        <c:numFmt formatCode="_-[$$-409]* #,##0.0_ ;_-[$$-409]* \-#,##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NG"/>
          </a:p>
        </c:txPr>
        <c:crossAx val="1338923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[finance_project.xlsx]Analysis!PivotTable27</c:name>
    <c:fmtId val="22"/>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Trebuchet MS" panose="020B0603020202020204" pitchFamily="34" charset="0"/>
                <a:ea typeface="+mn-ea"/>
                <a:cs typeface="+mn-cs"/>
              </a:defRPr>
            </a:pPr>
            <a:r>
              <a:rPr lang="en-US" sz="1000">
                <a:solidFill>
                  <a:sysClr val="windowText" lastClr="000000"/>
                </a:solidFill>
                <a:latin typeface="Trebuchet MS" panose="020B0603020202020204" pitchFamily="34" charset="0"/>
              </a:rPr>
              <a:t>ROA Vs ROE</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Trebuchet MS" panose="020B0603020202020204" pitchFamily="34" charset="0"/>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6B6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C85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Analysis!$B$23</c:f>
              <c:strCache>
                <c:ptCount val="1"/>
                <c:pt idx="0">
                  <c:v>ROA</c:v>
                </c:pt>
              </c:strCache>
            </c:strRef>
          </c:tx>
          <c:spPr>
            <a:ln w="28575" cap="rnd">
              <a:solidFill>
                <a:srgbClr val="FF6B6B"/>
              </a:solidFill>
              <a:round/>
            </a:ln>
            <a:effectLst/>
          </c:spPr>
          <c:marker>
            <c:symbol val="none"/>
          </c:marker>
          <c:cat>
            <c:strRef>
              <c:f>Analysis!$A$24:$A$29</c:f>
              <c:strCache>
                <c:ptCount val="5"/>
                <c:pt idx="0">
                  <c:v>2018</c:v>
                </c:pt>
                <c:pt idx="1">
                  <c:v>2019</c:v>
                </c:pt>
                <c:pt idx="2">
                  <c:v>2020</c:v>
                </c:pt>
                <c:pt idx="3">
                  <c:v>2021</c:v>
                </c:pt>
                <c:pt idx="4">
                  <c:v>2022</c:v>
                </c:pt>
              </c:strCache>
            </c:strRef>
          </c:cat>
          <c:val>
            <c:numRef>
              <c:f>Analysis!$B$24:$B$29</c:f>
              <c:numCache>
                <c:formatCode>0.00</c:formatCode>
                <c:ptCount val="5"/>
                <c:pt idx="0">
                  <c:v>4.5746720194029256E-2</c:v>
                </c:pt>
                <c:pt idx="1">
                  <c:v>3.5306984836917341E-2</c:v>
                </c:pt>
                <c:pt idx="2">
                  <c:v>4.896199488195873E-2</c:v>
                </c:pt>
                <c:pt idx="3">
                  <c:v>4.5953874035274914E-2</c:v>
                </c:pt>
                <c:pt idx="4">
                  <c:v>4.9834231085940102E-2</c:v>
                </c:pt>
              </c:numCache>
            </c:numRef>
          </c:val>
          <c:smooth val="1"/>
          <c:extLst>
            <c:ext xmlns:c16="http://schemas.microsoft.com/office/drawing/2014/chart" uri="{C3380CC4-5D6E-409C-BE32-E72D297353CC}">
              <c16:uniqueId val="{00000000-679F-4922-A306-27559E55A20B}"/>
            </c:ext>
          </c:extLst>
        </c:ser>
        <c:ser>
          <c:idx val="1"/>
          <c:order val="1"/>
          <c:tx>
            <c:strRef>
              <c:f>Analysis!$C$23</c:f>
              <c:strCache>
                <c:ptCount val="1"/>
                <c:pt idx="0">
                  <c:v>ROE</c:v>
                </c:pt>
              </c:strCache>
            </c:strRef>
          </c:tx>
          <c:spPr>
            <a:ln w="28575" cap="rnd">
              <a:solidFill>
                <a:srgbClr val="FFC857"/>
              </a:solidFill>
              <a:round/>
            </a:ln>
            <a:effectLst/>
          </c:spPr>
          <c:marker>
            <c:symbol val="none"/>
          </c:marker>
          <c:cat>
            <c:strRef>
              <c:f>Analysis!$A$24:$A$29</c:f>
              <c:strCache>
                <c:ptCount val="5"/>
                <c:pt idx="0">
                  <c:v>2018</c:v>
                </c:pt>
                <c:pt idx="1">
                  <c:v>2019</c:v>
                </c:pt>
                <c:pt idx="2">
                  <c:v>2020</c:v>
                </c:pt>
                <c:pt idx="3">
                  <c:v>2021</c:v>
                </c:pt>
                <c:pt idx="4">
                  <c:v>2022</c:v>
                </c:pt>
              </c:strCache>
            </c:strRef>
          </c:cat>
          <c:val>
            <c:numRef>
              <c:f>Analysis!$C$24:$C$29</c:f>
              <c:numCache>
                <c:formatCode>0.00</c:formatCode>
                <c:ptCount val="5"/>
                <c:pt idx="0">
                  <c:v>0.1536915387988638</c:v>
                </c:pt>
                <c:pt idx="1">
                  <c:v>0.22693865799408761</c:v>
                </c:pt>
                <c:pt idx="2">
                  <c:v>0.19736414962216911</c:v>
                </c:pt>
                <c:pt idx="3">
                  <c:v>0.19634410779082642</c:v>
                </c:pt>
                <c:pt idx="4">
                  <c:v>0.19825053284587615</c:v>
                </c:pt>
              </c:numCache>
            </c:numRef>
          </c:val>
          <c:smooth val="1"/>
          <c:extLst>
            <c:ext xmlns:c16="http://schemas.microsoft.com/office/drawing/2014/chart" uri="{C3380CC4-5D6E-409C-BE32-E72D297353CC}">
              <c16:uniqueId val="{00000001-679F-4922-A306-27559E55A20B}"/>
            </c:ext>
          </c:extLst>
        </c:ser>
        <c:dLbls>
          <c:showLegendKey val="0"/>
          <c:showVal val="0"/>
          <c:showCatName val="0"/>
          <c:showSerName val="0"/>
          <c:showPercent val="0"/>
          <c:showBubbleSize val="0"/>
        </c:dLbls>
        <c:smooth val="0"/>
        <c:axId val="701057927"/>
        <c:axId val="701060447"/>
      </c:lineChart>
      <c:catAx>
        <c:axId val="701057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NG"/>
          </a:p>
        </c:txPr>
        <c:crossAx val="701060447"/>
        <c:crosses val="autoZero"/>
        <c:auto val="1"/>
        <c:lblAlgn val="ctr"/>
        <c:lblOffset val="100"/>
        <c:noMultiLvlLbl val="0"/>
      </c:catAx>
      <c:valAx>
        <c:axId val="701060447"/>
        <c:scaling>
          <c:orientation val="minMax"/>
        </c:scaling>
        <c:delete val="0"/>
        <c:axPos val="l"/>
        <c:majorGridlines>
          <c:spPr>
            <a:ln w="9525" cap="flat" cmpd="sng" algn="ctr">
              <a:solidFill>
                <a:schemeClr val="bg1">
                  <a:lumMod val="85000"/>
                  <a:alpha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NG"/>
          </a:p>
        </c:txPr>
        <c:crossAx val="701057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[finance_project.xlsx]Analysis!PivotTable21</c:name>
    <c:fmtId val="12"/>
  </c:pivotSource>
  <c:chart>
    <c:title>
      <c:tx>
        <c:rich>
          <a:bodyPr rot="0" spcFirstLastPara="1" vertOverflow="ellipsis" vert="horz" wrap="square" anchor="ctr" anchorCtr="1"/>
          <a:lstStyle/>
          <a:p>
            <a:pPr>
              <a:defRPr sz="1000" b="0" i="0" u="none" strike="noStrike" kern="1200" spc="0" baseline="0">
                <a:solidFill>
                  <a:sysClr val="windowText" lastClr="000000"/>
                </a:solidFill>
                <a:latin typeface="Trebuchet MS" panose="020B0603020202020204" pitchFamily="34" charset="0"/>
                <a:ea typeface="+mn-ea"/>
                <a:cs typeface="+mn-cs"/>
              </a:defRPr>
            </a:pPr>
            <a:r>
              <a:rPr lang="en-US" sz="1000">
                <a:solidFill>
                  <a:sysClr val="windowText" lastClr="000000"/>
                </a:solidFill>
                <a:latin typeface="Trebuchet MS" panose="020B0603020202020204" pitchFamily="34" charset="0"/>
              </a:rPr>
              <a:t>Department Vs Cost Efficiency</a:t>
            </a:r>
          </a:p>
        </c:rich>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Trebuchet MS" panose="020B0603020202020204" pitchFamily="34" charset="0"/>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85DE5"/>
          </a:solidFill>
          <a:ln>
            <a:noFill/>
          </a:ln>
          <a:effectLst/>
        </c:spPr>
      </c:pivotFmt>
      <c:pivotFmt>
        <c:idx val="6"/>
        <c:spPr>
          <a:solidFill>
            <a:srgbClr val="3A86FF"/>
          </a:solidFill>
          <a:ln>
            <a:noFill/>
          </a:ln>
          <a:effectLst/>
        </c:spPr>
      </c:pivotFmt>
      <c:pivotFmt>
        <c:idx val="7"/>
        <c:spPr>
          <a:solidFill>
            <a:srgbClr val="FFC857"/>
          </a:solidFill>
          <a:ln>
            <a:noFill/>
          </a:ln>
          <a:effectLst/>
        </c:spPr>
      </c:pivotFmt>
      <c:pivotFmt>
        <c:idx val="8"/>
        <c:spPr>
          <a:solidFill>
            <a:srgbClr val="FF6B6B"/>
          </a:solidFill>
          <a:ln>
            <a:noFill/>
          </a:ln>
          <a:effectLst/>
        </c:spPr>
      </c:pivotFmt>
    </c:pivotFmts>
    <c:plotArea>
      <c:layout/>
      <c:barChart>
        <c:barDir val="bar"/>
        <c:grouping val="clustered"/>
        <c:varyColors val="1"/>
        <c:ser>
          <c:idx val="0"/>
          <c:order val="0"/>
          <c:tx>
            <c:strRef>
              <c:f>Analysis!$F$3</c:f>
              <c:strCache>
                <c:ptCount val="1"/>
                <c:pt idx="0">
                  <c:v>Total</c:v>
                </c:pt>
              </c:strCache>
            </c:strRef>
          </c:tx>
          <c:invertIfNegative val="0"/>
          <c:dPt>
            <c:idx val="0"/>
            <c:invertIfNegative val="0"/>
            <c:bubble3D val="0"/>
            <c:spPr>
              <a:solidFill>
                <a:srgbClr val="FF6B6B"/>
              </a:solidFill>
              <a:ln>
                <a:noFill/>
              </a:ln>
              <a:effectLst/>
            </c:spPr>
            <c:extLst>
              <c:ext xmlns:c16="http://schemas.microsoft.com/office/drawing/2014/chart" uri="{C3380CC4-5D6E-409C-BE32-E72D297353CC}">
                <c16:uniqueId val="{00000004-38BB-420F-9C5D-29F53D4461F4}"/>
              </c:ext>
            </c:extLst>
          </c:dPt>
          <c:dPt>
            <c:idx val="1"/>
            <c:invertIfNegative val="0"/>
            <c:bubble3D val="0"/>
            <c:spPr>
              <a:solidFill>
                <a:srgbClr val="FFC857"/>
              </a:solidFill>
              <a:ln>
                <a:noFill/>
              </a:ln>
              <a:effectLst/>
            </c:spPr>
            <c:extLst>
              <c:ext xmlns:c16="http://schemas.microsoft.com/office/drawing/2014/chart" uri="{C3380CC4-5D6E-409C-BE32-E72D297353CC}">
                <c16:uniqueId val="{00000003-38BB-420F-9C5D-29F53D4461F4}"/>
              </c:ext>
            </c:extLst>
          </c:dPt>
          <c:dPt>
            <c:idx val="2"/>
            <c:invertIfNegative val="0"/>
            <c:bubble3D val="0"/>
            <c:spPr>
              <a:solidFill>
                <a:srgbClr val="3A86FF"/>
              </a:solidFill>
              <a:ln>
                <a:noFill/>
              </a:ln>
              <a:effectLst/>
            </c:spPr>
            <c:extLst>
              <c:ext xmlns:c16="http://schemas.microsoft.com/office/drawing/2014/chart" uri="{C3380CC4-5D6E-409C-BE32-E72D297353CC}">
                <c16:uniqueId val="{00000002-38BB-420F-9C5D-29F53D4461F4}"/>
              </c:ext>
            </c:extLst>
          </c:dPt>
          <c:dPt>
            <c:idx val="3"/>
            <c:invertIfNegative val="0"/>
            <c:bubble3D val="0"/>
            <c:spPr>
              <a:solidFill>
                <a:srgbClr val="985DE5"/>
              </a:solidFill>
              <a:ln>
                <a:noFill/>
              </a:ln>
              <a:effectLst/>
            </c:spPr>
            <c:extLst>
              <c:ext xmlns:c16="http://schemas.microsoft.com/office/drawing/2014/chart" uri="{C3380CC4-5D6E-409C-BE32-E72D297353CC}">
                <c16:uniqueId val="{00000001-38BB-420F-9C5D-29F53D4461F4}"/>
              </c:ext>
            </c:extLst>
          </c:dPt>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Analysis!$E$4:$E$8</c:f>
              <c:strCache>
                <c:ptCount val="4"/>
                <c:pt idx="0">
                  <c:v>Marketing</c:v>
                </c:pt>
                <c:pt idx="1">
                  <c:v>Admin</c:v>
                </c:pt>
                <c:pt idx="2">
                  <c:v>Sales</c:v>
                </c:pt>
                <c:pt idx="3">
                  <c:v>R&amp;D</c:v>
                </c:pt>
              </c:strCache>
            </c:strRef>
          </c:cat>
          <c:val>
            <c:numRef>
              <c:f>Analysis!$F$4:$F$8</c:f>
              <c:numCache>
                <c:formatCode>_-[$$-409]* #,##0.0_ ;_-[$$-409]* \-#,##0.0\ ;_-[$$-409]* "-"??_ ;_-@_ </c:formatCode>
                <c:ptCount val="4"/>
                <c:pt idx="0">
                  <c:v>349.75089750088762</c:v>
                </c:pt>
                <c:pt idx="1">
                  <c:v>354.5513769341764</c:v>
                </c:pt>
                <c:pt idx="2">
                  <c:v>356.68221045517373</c:v>
                </c:pt>
                <c:pt idx="3">
                  <c:v>360.94071744459598</c:v>
                </c:pt>
              </c:numCache>
            </c:numRef>
          </c:val>
          <c:extLst>
            <c:ext xmlns:c16="http://schemas.microsoft.com/office/drawing/2014/chart" uri="{C3380CC4-5D6E-409C-BE32-E72D297353CC}">
              <c16:uniqueId val="{00000000-38BB-420F-9C5D-29F53D4461F4}"/>
            </c:ext>
          </c:extLst>
        </c:ser>
        <c:dLbls>
          <c:dLblPos val="outEnd"/>
          <c:showLegendKey val="0"/>
          <c:showVal val="1"/>
          <c:showCatName val="0"/>
          <c:showSerName val="0"/>
          <c:showPercent val="0"/>
          <c:showBubbleSize val="0"/>
        </c:dLbls>
        <c:gapWidth val="219"/>
        <c:axId val="363653303"/>
        <c:axId val="519362712"/>
      </c:barChart>
      <c:catAx>
        <c:axId val="363653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NG"/>
          </a:p>
        </c:txPr>
        <c:crossAx val="519362712"/>
        <c:crosses val="autoZero"/>
        <c:auto val="1"/>
        <c:lblAlgn val="ctr"/>
        <c:lblOffset val="100"/>
        <c:noMultiLvlLbl val="0"/>
      </c:catAx>
      <c:valAx>
        <c:axId val="519362712"/>
        <c:scaling>
          <c:orientation val="minMax"/>
        </c:scaling>
        <c:delete val="0"/>
        <c:axPos val="b"/>
        <c:majorGridlines>
          <c:spPr>
            <a:ln w="9525" cap="flat" cmpd="sng" algn="ctr">
              <a:solidFill>
                <a:schemeClr val="bg1">
                  <a:lumMod val="85000"/>
                  <a:alpha val="50000"/>
                </a:schemeClr>
              </a:solidFill>
              <a:round/>
            </a:ln>
            <a:effectLst/>
          </c:spPr>
        </c:majorGridlines>
        <c:numFmt formatCode="_-[$$-409]* #,##0.0_ ;_-[$$-409]* \-#,##0.0\ ;_-[$$-409]* &quot;-&quot;??_ ;_-@_ " sourceLinked="1"/>
        <c:majorTickMark val="none"/>
        <c:minorTickMark val="none"/>
        <c:tickLblPos val="nextTo"/>
        <c:spPr>
          <a:noFill/>
          <a:ln>
            <a:noFill/>
          </a:ln>
          <a:effectLst/>
        </c:spPr>
        <c:txPr>
          <a:bodyPr rot="-24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NG"/>
          </a:p>
        </c:txPr>
        <c:crossAx val="363653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127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[finance_project.xlsx]Analysis!PivotTable26</c:name>
    <c:fmtId val="29"/>
  </c:pivotSource>
  <c:chart>
    <c:title>
      <c:tx>
        <c:rich>
          <a:bodyPr rot="0" spcFirstLastPara="1" vertOverflow="ellipsis" vert="horz" wrap="square" anchor="ctr" anchorCtr="1"/>
          <a:lstStyle/>
          <a:p>
            <a:pPr>
              <a:defRPr sz="1000" b="0" i="0" u="none" strike="noStrike" kern="1200" spc="0" baseline="0">
                <a:solidFill>
                  <a:sysClr val="windowText" lastClr="000000"/>
                </a:solidFill>
                <a:latin typeface="Trebuchet MS" panose="020B0603020202020204" pitchFamily="34" charset="0"/>
                <a:ea typeface="+mn-ea"/>
                <a:cs typeface="+mn-cs"/>
              </a:defRPr>
            </a:pPr>
            <a:r>
              <a:rPr lang="en-US" sz="1000">
                <a:solidFill>
                  <a:sysClr val="windowText" lastClr="000000"/>
                </a:solidFill>
                <a:latin typeface="Trebuchet MS" panose="020B0603020202020204" pitchFamily="34" charset="0"/>
              </a:rPr>
              <a:t>Operating Expenses Vs Department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Trebuchet MS" panose="020B0603020202020204" pitchFamily="34" charset="0"/>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985D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6B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3A8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C8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Analysis!$E$12:$E$13</c:f>
              <c:strCache>
                <c:ptCount val="1"/>
                <c:pt idx="0">
                  <c:v>Admin</c:v>
                </c:pt>
              </c:strCache>
            </c:strRef>
          </c:tx>
          <c:spPr>
            <a:solidFill>
              <a:srgbClr val="985DE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Analysis!$D$14:$D$19</c:f>
              <c:strCache>
                <c:ptCount val="5"/>
                <c:pt idx="0">
                  <c:v>2018</c:v>
                </c:pt>
                <c:pt idx="1">
                  <c:v>2019</c:v>
                </c:pt>
                <c:pt idx="2">
                  <c:v>2020</c:v>
                </c:pt>
                <c:pt idx="3">
                  <c:v>2021</c:v>
                </c:pt>
                <c:pt idx="4">
                  <c:v>2022</c:v>
                </c:pt>
              </c:strCache>
            </c:strRef>
          </c:cat>
          <c:val>
            <c:numRef>
              <c:f>Analysis!$E$14:$E$19</c:f>
              <c:numCache>
                <c:formatCode>0.0%</c:formatCode>
                <c:ptCount val="5"/>
                <c:pt idx="0">
                  <c:v>0.19752434123818163</c:v>
                </c:pt>
                <c:pt idx="1">
                  <c:v>0.20632698169485214</c:v>
                </c:pt>
                <c:pt idx="2">
                  <c:v>0.1961238830443385</c:v>
                </c:pt>
                <c:pt idx="3">
                  <c:v>0.20204299849242127</c:v>
                </c:pt>
                <c:pt idx="4">
                  <c:v>0.19798179553020648</c:v>
                </c:pt>
              </c:numCache>
            </c:numRef>
          </c:val>
          <c:extLst>
            <c:ext xmlns:c16="http://schemas.microsoft.com/office/drawing/2014/chart" uri="{C3380CC4-5D6E-409C-BE32-E72D297353CC}">
              <c16:uniqueId val="{00000000-D9F0-45BE-AAB3-FA6E35EBD6EC}"/>
            </c:ext>
          </c:extLst>
        </c:ser>
        <c:ser>
          <c:idx val="1"/>
          <c:order val="1"/>
          <c:tx>
            <c:strRef>
              <c:f>Analysis!$F$12:$F$13</c:f>
              <c:strCache>
                <c:ptCount val="1"/>
                <c:pt idx="0">
                  <c:v>Marketing</c:v>
                </c:pt>
              </c:strCache>
            </c:strRef>
          </c:tx>
          <c:spPr>
            <a:solidFill>
              <a:srgbClr val="FF6B6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Analysis!$D$14:$D$19</c:f>
              <c:strCache>
                <c:ptCount val="5"/>
                <c:pt idx="0">
                  <c:v>2018</c:v>
                </c:pt>
                <c:pt idx="1">
                  <c:v>2019</c:v>
                </c:pt>
                <c:pt idx="2">
                  <c:v>2020</c:v>
                </c:pt>
                <c:pt idx="3">
                  <c:v>2021</c:v>
                </c:pt>
                <c:pt idx="4">
                  <c:v>2022</c:v>
                </c:pt>
              </c:strCache>
            </c:strRef>
          </c:cat>
          <c:val>
            <c:numRef>
              <c:f>Analysis!$F$14:$F$19</c:f>
              <c:numCache>
                <c:formatCode>0.0%</c:formatCode>
                <c:ptCount val="5"/>
                <c:pt idx="0">
                  <c:v>0.20412908237932731</c:v>
                </c:pt>
                <c:pt idx="1">
                  <c:v>0.20720397203339522</c:v>
                </c:pt>
                <c:pt idx="2">
                  <c:v>0.20619899480322679</c:v>
                </c:pt>
                <c:pt idx="3">
                  <c:v>0.197727699167277</c:v>
                </c:pt>
                <c:pt idx="4">
                  <c:v>0.18474025161677368</c:v>
                </c:pt>
              </c:numCache>
            </c:numRef>
          </c:val>
          <c:extLst>
            <c:ext xmlns:c16="http://schemas.microsoft.com/office/drawing/2014/chart" uri="{C3380CC4-5D6E-409C-BE32-E72D297353CC}">
              <c16:uniqueId val="{00000001-D9F0-45BE-AAB3-FA6E35EBD6EC}"/>
            </c:ext>
          </c:extLst>
        </c:ser>
        <c:ser>
          <c:idx val="2"/>
          <c:order val="2"/>
          <c:tx>
            <c:strRef>
              <c:f>Analysis!$G$12:$G$13</c:f>
              <c:strCache>
                <c:ptCount val="1"/>
                <c:pt idx="0">
                  <c:v>R&amp;D</c:v>
                </c:pt>
              </c:strCache>
            </c:strRef>
          </c:tx>
          <c:spPr>
            <a:solidFill>
              <a:srgbClr val="3A86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Analysis!$D$14:$D$19</c:f>
              <c:strCache>
                <c:ptCount val="5"/>
                <c:pt idx="0">
                  <c:v>2018</c:v>
                </c:pt>
                <c:pt idx="1">
                  <c:v>2019</c:v>
                </c:pt>
                <c:pt idx="2">
                  <c:v>2020</c:v>
                </c:pt>
                <c:pt idx="3">
                  <c:v>2021</c:v>
                </c:pt>
                <c:pt idx="4">
                  <c:v>2022</c:v>
                </c:pt>
              </c:strCache>
            </c:strRef>
          </c:cat>
          <c:val>
            <c:numRef>
              <c:f>Analysis!$G$14:$G$19</c:f>
              <c:numCache>
                <c:formatCode>0.0%</c:formatCode>
                <c:ptCount val="5"/>
                <c:pt idx="0">
                  <c:v>0.1911077445512219</c:v>
                </c:pt>
                <c:pt idx="1">
                  <c:v>0.19990165800301002</c:v>
                </c:pt>
                <c:pt idx="2">
                  <c:v>0.2077182359425529</c:v>
                </c:pt>
                <c:pt idx="3">
                  <c:v>0.19943459787214815</c:v>
                </c:pt>
                <c:pt idx="4">
                  <c:v>0.20183776363106704</c:v>
                </c:pt>
              </c:numCache>
            </c:numRef>
          </c:val>
          <c:extLst>
            <c:ext xmlns:c16="http://schemas.microsoft.com/office/drawing/2014/chart" uri="{C3380CC4-5D6E-409C-BE32-E72D297353CC}">
              <c16:uniqueId val="{00000002-D9F0-45BE-AAB3-FA6E35EBD6EC}"/>
            </c:ext>
          </c:extLst>
        </c:ser>
        <c:ser>
          <c:idx val="3"/>
          <c:order val="3"/>
          <c:tx>
            <c:strRef>
              <c:f>Analysis!$H$12:$H$13</c:f>
              <c:strCache>
                <c:ptCount val="1"/>
                <c:pt idx="0">
                  <c:v>Sales</c:v>
                </c:pt>
              </c:strCache>
            </c:strRef>
          </c:tx>
          <c:spPr>
            <a:solidFill>
              <a:srgbClr val="FFC85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Analysis!$D$14:$D$19</c:f>
              <c:strCache>
                <c:ptCount val="5"/>
                <c:pt idx="0">
                  <c:v>2018</c:v>
                </c:pt>
                <c:pt idx="1">
                  <c:v>2019</c:v>
                </c:pt>
                <c:pt idx="2">
                  <c:v>2020</c:v>
                </c:pt>
                <c:pt idx="3">
                  <c:v>2021</c:v>
                </c:pt>
                <c:pt idx="4">
                  <c:v>2022</c:v>
                </c:pt>
              </c:strCache>
            </c:strRef>
          </c:cat>
          <c:val>
            <c:numRef>
              <c:f>Analysis!$H$14:$H$19</c:f>
              <c:numCache>
                <c:formatCode>0.0%</c:formatCode>
                <c:ptCount val="5"/>
                <c:pt idx="0">
                  <c:v>0.20364313542646076</c:v>
                </c:pt>
                <c:pt idx="1">
                  <c:v>0.20084965668800189</c:v>
                </c:pt>
                <c:pt idx="2">
                  <c:v>0.18289687846847141</c:v>
                </c:pt>
                <c:pt idx="3">
                  <c:v>0.20399460271107633</c:v>
                </c:pt>
                <c:pt idx="4">
                  <c:v>0.20861572670598963</c:v>
                </c:pt>
              </c:numCache>
            </c:numRef>
          </c:val>
          <c:extLst>
            <c:ext xmlns:c16="http://schemas.microsoft.com/office/drawing/2014/chart" uri="{C3380CC4-5D6E-409C-BE32-E72D297353CC}">
              <c16:uniqueId val="{00000003-D9F0-45BE-AAB3-FA6E35EBD6EC}"/>
            </c:ext>
          </c:extLst>
        </c:ser>
        <c:dLbls>
          <c:dLblPos val="ctr"/>
          <c:showLegendKey val="0"/>
          <c:showVal val="1"/>
          <c:showCatName val="0"/>
          <c:showSerName val="0"/>
          <c:showPercent val="0"/>
          <c:showBubbleSize val="0"/>
        </c:dLbls>
        <c:gapWidth val="150"/>
        <c:overlap val="100"/>
        <c:axId val="707179551"/>
        <c:axId val="707178111"/>
      </c:barChart>
      <c:catAx>
        <c:axId val="707179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NG"/>
          </a:p>
        </c:txPr>
        <c:crossAx val="707178111"/>
        <c:crosses val="autoZero"/>
        <c:auto val="1"/>
        <c:lblAlgn val="ctr"/>
        <c:lblOffset val="100"/>
        <c:noMultiLvlLbl val="0"/>
      </c:catAx>
      <c:valAx>
        <c:axId val="707178111"/>
        <c:scaling>
          <c:orientation val="minMax"/>
        </c:scaling>
        <c:delete val="0"/>
        <c:axPos val="b"/>
        <c:majorGridlines>
          <c:spPr>
            <a:ln w="9525" cap="flat" cmpd="sng" algn="ctr">
              <a:solidFill>
                <a:schemeClr val="bg1">
                  <a:lumMod val="85000"/>
                  <a:alpha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NG"/>
          </a:p>
        </c:txPr>
        <c:crossAx val="707179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254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[finance_project.xlsx]Analysis!PivotTable28</c:name>
    <c:fmtId val="28"/>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Trebuchet MS" panose="020B0603020202020204" pitchFamily="34" charset="0"/>
                <a:ea typeface="+mn-ea"/>
                <a:cs typeface="+mn-cs"/>
              </a:defRPr>
            </a:pPr>
            <a:r>
              <a:rPr lang="en-US" sz="1000">
                <a:solidFill>
                  <a:sysClr val="windowText" lastClr="000000"/>
                </a:solidFill>
                <a:latin typeface="Trebuchet MS" panose="020B0603020202020204" pitchFamily="34" charset="0"/>
              </a:rPr>
              <a:t>Revenue Vs Profit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Trebuchet MS" panose="020B0603020202020204" pitchFamily="34" charset="0"/>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6B6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C85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Analysis!$F$23</c:f>
              <c:strCache>
                <c:ptCount val="1"/>
                <c:pt idx="0">
                  <c:v>Net_Profit</c:v>
                </c:pt>
              </c:strCache>
            </c:strRef>
          </c:tx>
          <c:spPr>
            <a:ln w="28575" cap="rnd">
              <a:solidFill>
                <a:srgbClr val="FF6B6B"/>
              </a:solidFill>
              <a:round/>
            </a:ln>
            <a:effectLst/>
          </c:spPr>
          <c:marker>
            <c:symbol val="none"/>
          </c:marker>
          <c:cat>
            <c:strRef>
              <c:f>Analysis!$E$24:$E$29</c:f>
              <c:strCache>
                <c:ptCount val="5"/>
                <c:pt idx="0">
                  <c:v>2018</c:v>
                </c:pt>
                <c:pt idx="1">
                  <c:v>2019</c:v>
                </c:pt>
                <c:pt idx="2">
                  <c:v>2020</c:v>
                </c:pt>
                <c:pt idx="3">
                  <c:v>2021</c:v>
                </c:pt>
                <c:pt idx="4">
                  <c:v>2022</c:v>
                </c:pt>
              </c:strCache>
            </c:strRef>
          </c:cat>
          <c:val>
            <c:numRef>
              <c:f>Analysis!$F$24:$F$29</c:f>
              <c:numCache>
                <c:formatCode>_-[$$-409]* #,##0.0_ ;_-[$$-409]* \-#,##0.0\ ;_-[$$-409]* "-"??_ ;_-@_ </c:formatCode>
                <c:ptCount val="5"/>
                <c:pt idx="0">
                  <c:v>5312157</c:v>
                </c:pt>
                <c:pt idx="1">
                  <c:v>3917431</c:v>
                </c:pt>
                <c:pt idx="2">
                  <c:v>5739834</c:v>
                </c:pt>
                <c:pt idx="3">
                  <c:v>5326238</c:v>
                </c:pt>
                <c:pt idx="4">
                  <c:v>5947469</c:v>
                </c:pt>
              </c:numCache>
            </c:numRef>
          </c:val>
          <c:smooth val="1"/>
          <c:extLst>
            <c:ext xmlns:c16="http://schemas.microsoft.com/office/drawing/2014/chart" uri="{C3380CC4-5D6E-409C-BE32-E72D297353CC}">
              <c16:uniqueId val="{00000000-1D18-4015-AC6D-EA4B8FC5CE5E}"/>
            </c:ext>
          </c:extLst>
        </c:ser>
        <c:ser>
          <c:idx val="1"/>
          <c:order val="1"/>
          <c:tx>
            <c:strRef>
              <c:f>Analysis!$G$23</c:f>
              <c:strCache>
                <c:ptCount val="1"/>
                <c:pt idx="0">
                  <c:v>Revenue</c:v>
                </c:pt>
              </c:strCache>
            </c:strRef>
          </c:tx>
          <c:spPr>
            <a:ln w="28575" cap="rnd">
              <a:solidFill>
                <a:srgbClr val="FFC857"/>
              </a:solidFill>
              <a:round/>
            </a:ln>
            <a:effectLst/>
          </c:spPr>
          <c:marker>
            <c:symbol val="none"/>
          </c:marker>
          <c:cat>
            <c:strRef>
              <c:f>Analysis!$E$24:$E$29</c:f>
              <c:strCache>
                <c:ptCount val="5"/>
                <c:pt idx="0">
                  <c:v>2018</c:v>
                </c:pt>
                <c:pt idx="1">
                  <c:v>2019</c:v>
                </c:pt>
                <c:pt idx="2">
                  <c:v>2020</c:v>
                </c:pt>
                <c:pt idx="3">
                  <c:v>2021</c:v>
                </c:pt>
                <c:pt idx="4">
                  <c:v>2022</c:v>
                </c:pt>
              </c:strCache>
            </c:strRef>
          </c:cat>
          <c:val>
            <c:numRef>
              <c:f>Analysis!$G$24:$G$29</c:f>
              <c:numCache>
                <c:formatCode>_-[$$-409]* #,##0.0_ ;_-[$$-409]* \-#,##0.0\ ;_-[$$-409]* "-"??_ ;_-@_ </c:formatCode>
                <c:ptCount val="5"/>
                <c:pt idx="0">
                  <c:v>28553322</c:v>
                </c:pt>
                <c:pt idx="1">
                  <c:v>27541789</c:v>
                </c:pt>
                <c:pt idx="2">
                  <c:v>28829880</c:v>
                </c:pt>
                <c:pt idx="3">
                  <c:v>28619708</c:v>
                </c:pt>
                <c:pt idx="4">
                  <c:v>29082259</c:v>
                </c:pt>
              </c:numCache>
            </c:numRef>
          </c:val>
          <c:smooth val="1"/>
          <c:extLst>
            <c:ext xmlns:c16="http://schemas.microsoft.com/office/drawing/2014/chart" uri="{C3380CC4-5D6E-409C-BE32-E72D297353CC}">
              <c16:uniqueId val="{00000001-1D18-4015-AC6D-EA4B8FC5CE5E}"/>
            </c:ext>
          </c:extLst>
        </c:ser>
        <c:dLbls>
          <c:showLegendKey val="0"/>
          <c:showVal val="0"/>
          <c:showCatName val="0"/>
          <c:showSerName val="0"/>
          <c:showPercent val="0"/>
          <c:showBubbleSize val="0"/>
        </c:dLbls>
        <c:smooth val="0"/>
        <c:axId val="704742799"/>
        <c:axId val="704743159"/>
      </c:lineChart>
      <c:catAx>
        <c:axId val="70474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NG"/>
          </a:p>
        </c:txPr>
        <c:crossAx val="704743159"/>
        <c:crosses val="autoZero"/>
        <c:auto val="1"/>
        <c:lblAlgn val="ctr"/>
        <c:lblOffset val="100"/>
        <c:noMultiLvlLbl val="0"/>
      </c:catAx>
      <c:valAx>
        <c:axId val="704743159"/>
        <c:scaling>
          <c:orientation val="minMax"/>
        </c:scaling>
        <c:delete val="0"/>
        <c:axPos val="l"/>
        <c:majorGridlines>
          <c:spPr>
            <a:ln w="9525" cap="flat" cmpd="sng" algn="ctr">
              <a:solidFill>
                <a:schemeClr val="bg1">
                  <a:lumMod val="85000"/>
                  <a:alpha val="50000"/>
                </a:schemeClr>
              </a:solidFill>
              <a:round/>
            </a:ln>
            <a:effectLst/>
          </c:spPr>
        </c:majorGridlines>
        <c:numFmt formatCode="_-[$$-409]* #,##0.0_ ;_-[$$-409]* \-#,##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NG"/>
          </a:p>
        </c:txPr>
        <c:crossAx val="704742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[finance_project.xlsx]Analysis!PivotTable1</c:name>
    <c:fmtId val="3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B6B"/>
          </a:solidFill>
          <a:ln w="15875">
            <a:noFill/>
          </a:ln>
          <a:effectLst/>
        </c:spPr>
        <c:marker>
          <c:symbol val="circle"/>
          <c:size val="2"/>
          <c:spPr>
            <a:solidFill>
              <a:schemeClr val="accent1"/>
            </a:solidFill>
            <a:ln w="9525">
              <a:solidFill>
                <a:srgbClr val="FF6B6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Analysis!$L$12</c:f>
              <c:strCache>
                <c:ptCount val="1"/>
                <c:pt idx="0">
                  <c:v>Total</c:v>
                </c:pt>
              </c:strCache>
            </c:strRef>
          </c:tx>
          <c:spPr>
            <a:solidFill>
              <a:srgbClr val="FF6B6B"/>
            </a:solidFill>
            <a:ln w="15875">
              <a:noFill/>
            </a:ln>
            <a:effectLst/>
          </c:spPr>
          <c:invertIfNegative val="0"/>
          <c:cat>
            <c:strRef>
              <c:f>Analysis!$K$13:$K$18</c:f>
              <c:strCache>
                <c:ptCount val="5"/>
                <c:pt idx="0">
                  <c:v>2018</c:v>
                </c:pt>
                <c:pt idx="1">
                  <c:v>2019</c:v>
                </c:pt>
                <c:pt idx="2">
                  <c:v>2020</c:v>
                </c:pt>
                <c:pt idx="3">
                  <c:v>2021</c:v>
                </c:pt>
                <c:pt idx="4">
                  <c:v>2022</c:v>
                </c:pt>
              </c:strCache>
            </c:strRef>
          </c:cat>
          <c:val>
            <c:numRef>
              <c:f>Analysis!$L$13:$L$18</c:f>
              <c:numCache>
                <c:formatCode>_-[$$-409]* #,##0.0_ ;_-[$$-409]* \-#,##0.0\ ;_-[$$-409]* "-"??_ ;_-@_ </c:formatCode>
                <c:ptCount val="5"/>
                <c:pt idx="0">
                  <c:v>28553322</c:v>
                </c:pt>
                <c:pt idx="1">
                  <c:v>27541789</c:v>
                </c:pt>
                <c:pt idx="2">
                  <c:v>28829880</c:v>
                </c:pt>
                <c:pt idx="3">
                  <c:v>28619708</c:v>
                </c:pt>
                <c:pt idx="4">
                  <c:v>29082259</c:v>
                </c:pt>
              </c:numCache>
            </c:numRef>
          </c:val>
          <c:extLst>
            <c:ext xmlns:c16="http://schemas.microsoft.com/office/drawing/2014/chart" uri="{C3380CC4-5D6E-409C-BE32-E72D297353CC}">
              <c16:uniqueId val="{00000000-AA9A-4A71-81BC-E93D2932AFF7}"/>
            </c:ext>
          </c:extLst>
        </c:ser>
        <c:dLbls>
          <c:showLegendKey val="0"/>
          <c:showVal val="0"/>
          <c:showCatName val="0"/>
          <c:showSerName val="0"/>
          <c:showPercent val="0"/>
          <c:showBubbleSize val="0"/>
        </c:dLbls>
        <c:gapWidth val="100"/>
        <c:axId val="621552304"/>
        <c:axId val="621556984"/>
      </c:barChart>
      <c:catAx>
        <c:axId val="621552304"/>
        <c:scaling>
          <c:orientation val="minMax"/>
        </c:scaling>
        <c:delete val="1"/>
        <c:axPos val="b"/>
        <c:numFmt formatCode="General" sourceLinked="1"/>
        <c:majorTickMark val="none"/>
        <c:minorTickMark val="none"/>
        <c:tickLblPos val="nextTo"/>
        <c:crossAx val="621556984"/>
        <c:crosses val="autoZero"/>
        <c:auto val="1"/>
        <c:lblAlgn val="ctr"/>
        <c:lblOffset val="100"/>
        <c:noMultiLvlLbl val="0"/>
      </c:catAx>
      <c:valAx>
        <c:axId val="621556984"/>
        <c:scaling>
          <c:orientation val="minMax"/>
        </c:scaling>
        <c:delete val="1"/>
        <c:axPos val="l"/>
        <c:numFmt formatCode="_-[$$-409]* #,##0.0_ ;_-[$$-409]* \-#,##0.0\ ;_-[$$-409]* &quot;-&quot;??_ ;_-@_ " sourceLinked="1"/>
        <c:majorTickMark val="none"/>
        <c:minorTickMark val="none"/>
        <c:tickLblPos val="nextTo"/>
        <c:crossAx val="62155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[finance_project.xlsx]Analysis!PivotTable20</c:name>
    <c:fmtId val="25"/>
  </c:pivotSource>
  <c:chart>
    <c:autoTitleDeleted val="1"/>
    <c:pivotFmts>
      <c:pivotFmt>
        <c:idx val="0"/>
        <c:spPr>
          <a:gradFill>
            <a:gsLst>
              <a:gs pos="0">
                <a:srgbClr val="FFC857"/>
              </a:gs>
              <a:gs pos="74000">
                <a:schemeClr val="bg1"/>
              </a:gs>
              <a:gs pos="83000">
                <a:schemeClr val="bg1"/>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FFC857"/>
              </a:gs>
              <a:gs pos="74000">
                <a:schemeClr val="bg1"/>
              </a:gs>
              <a:gs pos="83000">
                <a:schemeClr val="bg1"/>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C857"/>
              </a:gs>
              <a:gs pos="74000">
                <a:schemeClr val="bg1">
                  <a:lumMod val="95000"/>
                  <a:alpha val="30000"/>
                </a:schemeClr>
              </a:gs>
              <a:gs pos="83000">
                <a:schemeClr val="bg1">
                  <a:lumMod val="95000"/>
                  <a:alpha val="20000"/>
                </a:schemeClr>
              </a:gs>
              <a:gs pos="100000">
                <a:schemeClr val="bg1">
                  <a:lumMod val="95000"/>
                  <a:alpha val="1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Analysis!$B$3</c:f>
              <c:strCache>
                <c:ptCount val="1"/>
                <c:pt idx="0">
                  <c:v>Total</c:v>
                </c:pt>
              </c:strCache>
            </c:strRef>
          </c:tx>
          <c:spPr>
            <a:gradFill>
              <a:gsLst>
                <a:gs pos="0">
                  <a:srgbClr val="FFC857"/>
                </a:gs>
                <a:gs pos="74000">
                  <a:schemeClr val="bg1">
                    <a:lumMod val="95000"/>
                    <a:alpha val="30000"/>
                  </a:schemeClr>
                </a:gs>
                <a:gs pos="83000">
                  <a:schemeClr val="bg1">
                    <a:lumMod val="95000"/>
                    <a:alpha val="20000"/>
                  </a:schemeClr>
                </a:gs>
                <a:gs pos="100000">
                  <a:schemeClr val="bg1">
                    <a:lumMod val="95000"/>
                    <a:alpha val="10000"/>
                  </a:schemeClr>
                </a:gs>
              </a:gsLst>
              <a:lin ang="5400000" scaled="1"/>
            </a:gradFill>
            <a:ln>
              <a:noFill/>
            </a:ln>
            <a:effectLst/>
          </c:spPr>
          <c:cat>
            <c:strRef>
              <c:f>Analysis!$A$4:$A$9</c:f>
              <c:strCache>
                <c:ptCount val="5"/>
                <c:pt idx="0">
                  <c:v>2018</c:v>
                </c:pt>
                <c:pt idx="1">
                  <c:v>2019</c:v>
                </c:pt>
                <c:pt idx="2">
                  <c:v>2020</c:v>
                </c:pt>
                <c:pt idx="3">
                  <c:v>2021</c:v>
                </c:pt>
                <c:pt idx="4">
                  <c:v>2022</c:v>
                </c:pt>
              </c:strCache>
            </c:strRef>
          </c:cat>
          <c:val>
            <c:numRef>
              <c:f>Analysis!$B$4:$B$9</c:f>
              <c:numCache>
                <c:formatCode>_-[$$-409]* #,##0.0_ ;_-[$$-409]* \-#,##0.0\ ;_-[$$-409]* "-"??_ ;_-@_ </c:formatCode>
                <c:ptCount val="5"/>
                <c:pt idx="0">
                  <c:v>5312157</c:v>
                </c:pt>
                <c:pt idx="1">
                  <c:v>3917431</c:v>
                </c:pt>
                <c:pt idx="2">
                  <c:v>5739834</c:v>
                </c:pt>
                <c:pt idx="3">
                  <c:v>5326238</c:v>
                </c:pt>
                <c:pt idx="4">
                  <c:v>5947469</c:v>
                </c:pt>
              </c:numCache>
            </c:numRef>
          </c:val>
          <c:extLst>
            <c:ext xmlns:c16="http://schemas.microsoft.com/office/drawing/2014/chart" uri="{C3380CC4-5D6E-409C-BE32-E72D297353CC}">
              <c16:uniqueId val="{00000000-415F-484F-B74F-BB9715B7A2EE}"/>
            </c:ext>
          </c:extLst>
        </c:ser>
        <c:dLbls>
          <c:showLegendKey val="0"/>
          <c:showVal val="0"/>
          <c:showCatName val="0"/>
          <c:showSerName val="0"/>
          <c:showPercent val="0"/>
          <c:showBubbleSize val="0"/>
        </c:dLbls>
        <c:axId val="868330752"/>
        <c:axId val="868332912"/>
      </c:areaChart>
      <c:catAx>
        <c:axId val="868330752"/>
        <c:scaling>
          <c:orientation val="minMax"/>
        </c:scaling>
        <c:delete val="1"/>
        <c:axPos val="b"/>
        <c:numFmt formatCode="General" sourceLinked="1"/>
        <c:majorTickMark val="out"/>
        <c:minorTickMark val="none"/>
        <c:tickLblPos val="nextTo"/>
        <c:crossAx val="868332912"/>
        <c:crosses val="autoZero"/>
        <c:auto val="1"/>
        <c:lblAlgn val="ctr"/>
        <c:lblOffset val="100"/>
        <c:noMultiLvlLbl val="0"/>
      </c:catAx>
      <c:valAx>
        <c:axId val="868332912"/>
        <c:scaling>
          <c:orientation val="minMax"/>
        </c:scaling>
        <c:delete val="1"/>
        <c:axPos val="l"/>
        <c:numFmt formatCode="_-[$$-409]* #,##0.0_ ;_-[$$-409]* \-#,##0.0\ ;_-[$$-409]* &quot;-&quot;??_ ;_-@_ " sourceLinked="1"/>
        <c:majorTickMark val="none"/>
        <c:minorTickMark val="none"/>
        <c:tickLblPos val="nextTo"/>
        <c:crossAx val="8683307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[finance_project.xlsx]Analysis!PivotTable2</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B6B"/>
          </a:solidFill>
          <a:ln>
            <a:noFill/>
          </a:ln>
          <a:effectLst/>
        </c:spPr>
      </c:pivotFmt>
      <c:pivotFmt>
        <c:idx val="2"/>
        <c:spPr>
          <a:solidFill>
            <a:srgbClr val="FF6B6B"/>
          </a:solidFill>
          <a:ln>
            <a:noFill/>
          </a:ln>
          <a:effectLst/>
        </c:spPr>
      </c:pivotFmt>
      <c:pivotFmt>
        <c:idx val="3"/>
        <c:spPr>
          <a:solidFill>
            <a:srgbClr val="FF6B6B"/>
          </a:solidFill>
          <a:ln>
            <a:noFill/>
          </a:ln>
          <a:effectLst/>
        </c:spPr>
      </c:pivotFmt>
      <c:pivotFmt>
        <c:idx val="4"/>
        <c:spPr>
          <a:solidFill>
            <a:srgbClr val="FF6B6B"/>
          </a:solidFill>
          <a:ln>
            <a:noFill/>
          </a:ln>
          <a:effectLst/>
        </c:spPr>
      </c:pivotFmt>
      <c:pivotFmt>
        <c:idx val="5"/>
        <c:spPr>
          <a:solidFill>
            <a:srgbClr val="FF6B6B"/>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6B6B"/>
          </a:solidFill>
          <a:ln>
            <a:noFill/>
          </a:ln>
          <a:effectLst/>
        </c:spPr>
      </c:pivotFmt>
      <c:pivotFmt>
        <c:idx val="8"/>
        <c:spPr>
          <a:solidFill>
            <a:srgbClr val="FF6B6B"/>
          </a:solidFill>
          <a:ln>
            <a:noFill/>
          </a:ln>
          <a:effectLst/>
        </c:spPr>
      </c:pivotFmt>
      <c:pivotFmt>
        <c:idx val="9"/>
        <c:spPr>
          <a:solidFill>
            <a:srgbClr val="FF6B6B"/>
          </a:solidFill>
          <a:ln>
            <a:noFill/>
          </a:ln>
          <a:effectLst/>
        </c:spPr>
      </c:pivotFmt>
      <c:pivotFmt>
        <c:idx val="10"/>
        <c:spPr>
          <a:solidFill>
            <a:srgbClr val="FF6B6B"/>
          </a:solidFill>
          <a:ln>
            <a:noFill/>
          </a:ln>
          <a:effectLst/>
        </c:spPr>
      </c:pivotFmt>
      <c:pivotFmt>
        <c:idx val="11"/>
        <c:spPr>
          <a:solidFill>
            <a:srgbClr val="FF6B6B"/>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6B6B"/>
          </a:solidFill>
          <a:ln>
            <a:noFill/>
          </a:ln>
          <a:effectLst/>
        </c:spPr>
      </c:pivotFmt>
      <c:pivotFmt>
        <c:idx val="14"/>
        <c:spPr>
          <a:solidFill>
            <a:srgbClr val="FF6B6B"/>
          </a:solidFill>
          <a:ln>
            <a:noFill/>
          </a:ln>
          <a:effectLst/>
        </c:spPr>
      </c:pivotFmt>
      <c:pivotFmt>
        <c:idx val="15"/>
        <c:spPr>
          <a:solidFill>
            <a:srgbClr val="FF6B6B"/>
          </a:solidFill>
          <a:ln>
            <a:noFill/>
          </a:ln>
          <a:effectLst/>
        </c:spPr>
      </c:pivotFmt>
      <c:pivotFmt>
        <c:idx val="16"/>
        <c:spPr>
          <a:solidFill>
            <a:srgbClr val="FF6B6B"/>
          </a:solidFill>
          <a:ln>
            <a:noFill/>
          </a:ln>
          <a:effectLst/>
        </c:spPr>
      </c:pivotFmt>
      <c:pivotFmt>
        <c:idx val="17"/>
        <c:spPr>
          <a:solidFill>
            <a:srgbClr val="FF6B6B"/>
          </a:solidFill>
          <a:ln>
            <a:noFill/>
          </a:ln>
          <a:effectLst/>
        </c:spPr>
      </c:pivotFmt>
    </c:pivotFmts>
    <c:plotArea>
      <c:layout/>
      <c:barChart>
        <c:barDir val="col"/>
        <c:grouping val="clustered"/>
        <c:varyColors val="0"/>
        <c:ser>
          <c:idx val="0"/>
          <c:order val="0"/>
          <c:tx>
            <c:strRef>
              <c:f>Analysis!$B$32</c:f>
              <c:strCache>
                <c:ptCount val="1"/>
                <c:pt idx="0">
                  <c:v>Total</c:v>
                </c:pt>
              </c:strCache>
            </c:strRef>
          </c:tx>
          <c:spPr>
            <a:solidFill>
              <a:schemeClr val="accent1"/>
            </a:solidFill>
            <a:ln>
              <a:noFill/>
            </a:ln>
            <a:effectLst/>
          </c:spPr>
          <c:invertIfNegative val="0"/>
          <c:dPt>
            <c:idx val="0"/>
            <c:invertIfNegative val="0"/>
            <c:bubble3D val="0"/>
            <c:spPr>
              <a:solidFill>
                <a:srgbClr val="FF6B6B"/>
              </a:solidFill>
              <a:ln>
                <a:noFill/>
              </a:ln>
              <a:effectLst/>
            </c:spPr>
            <c:extLst>
              <c:ext xmlns:c16="http://schemas.microsoft.com/office/drawing/2014/chart" uri="{C3380CC4-5D6E-409C-BE32-E72D297353CC}">
                <c16:uniqueId val="{00000001-0C1C-431C-8830-77A9772AFE3D}"/>
              </c:ext>
            </c:extLst>
          </c:dPt>
          <c:dPt>
            <c:idx val="1"/>
            <c:invertIfNegative val="0"/>
            <c:bubble3D val="0"/>
            <c:spPr>
              <a:solidFill>
                <a:srgbClr val="FF6B6B"/>
              </a:solidFill>
              <a:ln>
                <a:noFill/>
              </a:ln>
              <a:effectLst/>
            </c:spPr>
            <c:extLst>
              <c:ext xmlns:c16="http://schemas.microsoft.com/office/drawing/2014/chart" uri="{C3380CC4-5D6E-409C-BE32-E72D297353CC}">
                <c16:uniqueId val="{00000003-0C1C-431C-8830-77A9772AFE3D}"/>
              </c:ext>
            </c:extLst>
          </c:dPt>
          <c:dPt>
            <c:idx val="2"/>
            <c:invertIfNegative val="0"/>
            <c:bubble3D val="0"/>
            <c:spPr>
              <a:solidFill>
                <a:srgbClr val="FF6B6B"/>
              </a:solidFill>
              <a:ln>
                <a:noFill/>
              </a:ln>
              <a:effectLst/>
            </c:spPr>
            <c:extLst>
              <c:ext xmlns:c16="http://schemas.microsoft.com/office/drawing/2014/chart" uri="{C3380CC4-5D6E-409C-BE32-E72D297353CC}">
                <c16:uniqueId val="{00000005-0C1C-431C-8830-77A9772AFE3D}"/>
              </c:ext>
            </c:extLst>
          </c:dPt>
          <c:dPt>
            <c:idx val="3"/>
            <c:invertIfNegative val="0"/>
            <c:bubble3D val="0"/>
            <c:spPr>
              <a:solidFill>
                <a:srgbClr val="FF6B6B"/>
              </a:solidFill>
              <a:ln>
                <a:noFill/>
              </a:ln>
              <a:effectLst/>
            </c:spPr>
            <c:extLst>
              <c:ext xmlns:c16="http://schemas.microsoft.com/office/drawing/2014/chart" uri="{C3380CC4-5D6E-409C-BE32-E72D297353CC}">
                <c16:uniqueId val="{00000007-0C1C-431C-8830-77A9772AFE3D}"/>
              </c:ext>
            </c:extLst>
          </c:dPt>
          <c:dPt>
            <c:idx val="4"/>
            <c:invertIfNegative val="0"/>
            <c:bubble3D val="0"/>
            <c:spPr>
              <a:solidFill>
                <a:srgbClr val="FF6B6B"/>
              </a:solidFill>
              <a:ln>
                <a:noFill/>
              </a:ln>
              <a:effectLst/>
            </c:spPr>
            <c:extLst>
              <c:ext xmlns:c16="http://schemas.microsoft.com/office/drawing/2014/chart" uri="{C3380CC4-5D6E-409C-BE32-E72D297353CC}">
                <c16:uniqueId val="{00000009-0C1C-431C-8830-77A9772AFE3D}"/>
              </c:ext>
            </c:extLst>
          </c:dPt>
          <c:cat>
            <c:strRef>
              <c:f>Analysis!$A$33:$A$38</c:f>
              <c:strCache>
                <c:ptCount val="5"/>
                <c:pt idx="0">
                  <c:v>2018</c:v>
                </c:pt>
                <c:pt idx="1">
                  <c:v>2019</c:v>
                </c:pt>
                <c:pt idx="2">
                  <c:v>2020</c:v>
                </c:pt>
                <c:pt idx="3">
                  <c:v>2021</c:v>
                </c:pt>
                <c:pt idx="4">
                  <c:v>2022</c:v>
                </c:pt>
              </c:strCache>
            </c:strRef>
          </c:cat>
          <c:val>
            <c:numRef>
              <c:f>Analysis!$B$33:$B$38</c:f>
              <c:numCache>
                <c:formatCode>0.00</c:formatCode>
                <c:ptCount val="5"/>
                <c:pt idx="0">
                  <c:v>0.1536915387988638</c:v>
                </c:pt>
                <c:pt idx="1">
                  <c:v>0.22693865799408761</c:v>
                </c:pt>
                <c:pt idx="2">
                  <c:v>0.19736414962216911</c:v>
                </c:pt>
                <c:pt idx="3">
                  <c:v>0.19634410779082642</c:v>
                </c:pt>
                <c:pt idx="4">
                  <c:v>0.19825053284587615</c:v>
                </c:pt>
              </c:numCache>
            </c:numRef>
          </c:val>
          <c:extLst>
            <c:ext xmlns:c16="http://schemas.microsoft.com/office/drawing/2014/chart" uri="{C3380CC4-5D6E-409C-BE32-E72D297353CC}">
              <c16:uniqueId val="{0000000A-0C1C-431C-8830-77A9772AFE3D}"/>
            </c:ext>
          </c:extLst>
        </c:ser>
        <c:dLbls>
          <c:showLegendKey val="0"/>
          <c:showVal val="0"/>
          <c:showCatName val="0"/>
          <c:showSerName val="0"/>
          <c:showPercent val="0"/>
          <c:showBubbleSize val="0"/>
        </c:dLbls>
        <c:gapWidth val="100"/>
        <c:overlap val="-27"/>
        <c:axId val="616299408"/>
        <c:axId val="616292568"/>
      </c:barChart>
      <c:catAx>
        <c:axId val="616299408"/>
        <c:scaling>
          <c:orientation val="minMax"/>
        </c:scaling>
        <c:delete val="1"/>
        <c:axPos val="b"/>
        <c:numFmt formatCode="General" sourceLinked="1"/>
        <c:majorTickMark val="none"/>
        <c:minorTickMark val="none"/>
        <c:tickLblPos val="nextTo"/>
        <c:crossAx val="616292568"/>
        <c:crosses val="autoZero"/>
        <c:auto val="1"/>
        <c:lblAlgn val="ctr"/>
        <c:lblOffset val="100"/>
        <c:noMultiLvlLbl val="0"/>
      </c:catAx>
      <c:valAx>
        <c:axId val="616292568"/>
        <c:scaling>
          <c:orientation val="minMax"/>
        </c:scaling>
        <c:delete val="1"/>
        <c:axPos val="l"/>
        <c:numFmt formatCode="0.00" sourceLinked="1"/>
        <c:majorTickMark val="none"/>
        <c:minorTickMark val="none"/>
        <c:tickLblPos val="nextTo"/>
        <c:crossAx val="61629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[finance_project.xlsx]Analysis!PivotTable3</c:name>
    <c:fmtId val="30"/>
  </c:pivotSource>
  <c:chart>
    <c:autoTitleDeleted val="1"/>
    <c:pivotFmts>
      <c:pivotFmt>
        <c:idx val="0"/>
        <c:spPr>
          <a:gradFill>
            <a:gsLst>
              <a:gs pos="0">
                <a:srgbClr val="FFC857"/>
              </a:gs>
              <a:gs pos="74000">
                <a:schemeClr val="bg1">
                  <a:lumMod val="95000"/>
                  <a:alpha val="30000"/>
                </a:schemeClr>
              </a:gs>
              <a:gs pos="83000">
                <a:schemeClr val="bg1">
                  <a:lumMod val="95000"/>
                  <a:alpha val="20000"/>
                </a:schemeClr>
              </a:gs>
              <a:gs pos="100000">
                <a:schemeClr val="bg1">
                  <a:lumMod val="95000"/>
                  <a:alpha val="10000"/>
                </a:schemeClr>
              </a:gs>
            </a:gsLst>
            <a:lin ang="5400000" scaled="1"/>
          </a:gradFill>
          <a:ln>
            <a:solidFill>
              <a:schemeClr val="bg1">
                <a:alpha val="9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FFC857"/>
              </a:gs>
              <a:gs pos="74000">
                <a:schemeClr val="bg1">
                  <a:lumMod val="95000"/>
                  <a:alpha val="30000"/>
                </a:schemeClr>
              </a:gs>
              <a:gs pos="83000">
                <a:schemeClr val="bg1">
                  <a:lumMod val="95000"/>
                  <a:alpha val="20000"/>
                </a:schemeClr>
              </a:gs>
              <a:gs pos="100000">
                <a:schemeClr val="bg1">
                  <a:lumMod val="95000"/>
                  <a:alpha val="10000"/>
                </a:schemeClr>
              </a:gs>
            </a:gsLst>
            <a:lin ang="5400000" scaled="1"/>
          </a:gradFill>
          <a:ln>
            <a:solidFill>
              <a:schemeClr val="bg1">
                <a:alpha val="9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C857"/>
              </a:gs>
              <a:gs pos="74000">
                <a:schemeClr val="bg1">
                  <a:lumMod val="95000"/>
                  <a:alpha val="30000"/>
                </a:schemeClr>
              </a:gs>
              <a:gs pos="83000">
                <a:schemeClr val="bg1">
                  <a:lumMod val="95000"/>
                  <a:alpha val="20000"/>
                </a:schemeClr>
              </a:gs>
              <a:gs pos="100000">
                <a:schemeClr val="bg1">
                  <a:lumMod val="95000"/>
                  <a:alpha val="1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Analysis!$L$23</c:f>
              <c:strCache>
                <c:ptCount val="1"/>
                <c:pt idx="0">
                  <c:v>Total</c:v>
                </c:pt>
              </c:strCache>
            </c:strRef>
          </c:tx>
          <c:spPr>
            <a:gradFill>
              <a:gsLst>
                <a:gs pos="0">
                  <a:srgbClr val="FFC857"/>
                </a:gs>
                <a:gs pos="74000">
                  <a:schemeClr val="bg1">
                    <a:lumMod val="95000"/>
                    <a:alpha val="30000"/>
                  </a:schemeClr>
                </a:gs>
                <a:gs pos="83000">
                  <a:schemeClr val="bg1">
                    <a:lumMod val="95000"/>
                    <a:alpha val="20000"/>
                  </a:schemeClr>
                </a:gs>
                <a:gs pos="100000">
                  <a:schemeClr val="bg1">
                    <a:lumMod val="95000"/>
                    <a:alpha val="10000"/>
                  </a:schemeClr>
                </a:gs>
              </a:gsLst>
              <a:lin ang="5400000" scaled="1"/>
            </a:gradFill>
            <a:ln>
              <a:noFill/>
            </a:ln>
            <a:effectLst/>
          </c:spPr>
          <c:cat>
            <c:strRef>
              <c:f>Analysis!$K$24:$K$29</c:f>
              <c:strCache>
                <c:ptCount val="5"/>
                <c:pt idx="0">
                  <c:v>2018</c:v>
                </c:pt>
                <c:pt idx="1">
                  <c:v>2019</c:v>
                </c:pt>
                <c:pt idx="2">
                  <c:v>2020</c:v>
                </c:pt>
                <c:pt idx="3">
                  <c:v>2021</c:v>
                </c:pt>
                <c:pt idx="4">
                  <c:v>2022</c:v>
                </c:pt>
              </c:strCache>
            </c:strRef>
          </c:cat>
          <c:val>
            <c:numRef>
              <c:f>Analysis!$L$24:$L$29</c:f>
              <c:numCache>
                <c:formatCode>0.00</c:formatCode>
                <c:ptCount val="5"/>
                <c:pt idx="0">
                  <c:v>4.5746720194029256E-2</c:v>
                </c:pt>
                <c:pt idx="1">
                  <c:v>3.5306984836917341E-2</c:v>
                </c:pt>
                <c:pt idx="2">
                  <c:v>4.896199488195873E-2</c:v>
                </c:pt>
                <c:pt idx="3">
                  <c:v>4.5953874035274914E-2</c:v>
                </c:pt>
                <c:pt idx="4">
                  <c:v>4.9834231085940102E-2</c:v>
                </c:pt>
              </c:numCache>
            </c:numRef>
          </c:val>
          <c:extLst>
            <c:ext xmlns:c16="http://schemas.microsoft.com/office/drawing/2014/chart" uri="{C3380CC4-5D6E-409C-BE32-E72D297353CC}">
              <c16:uniqueId val="{00000000-A5C3-44F9-B823-56E1715E01EF}"/>
            </c:ext>
          </c:extLst>
        </c:ser>
        <c:dLbls>
          <c:showLegendKey val="0"/>
          <c:showVal val="0"/>
          <c:showCatName val="0"/>
          <c:showSerName val="0"/>
          <c:showPercent val="0"/>
          <c:showBubbleSize val="0"/>
        </c:dLbls>
        <c:axId val="436622536"/>
        <c:axId val="436622896"/>
      </c:areaChart>
      <c:catAx>
        <c:axId val="436622536"/>
        <c:scaling>
          <c:orientation val="minMax"/>
        </c:scaling>
        <c:delete val="1"/>
        <c:axPos val="b"/>
        <c:numFmt formatCode="General" sourceLinked="1"/>
        <c:majorTickMark val="out"/>
        <c:minorTickMark val="none"/>
        <c:tickLblPos val="nextTo"/>
        <c:crossAx val="436622896"/>
        <c:crosses val="autoZero"/>
        <c:auto val="1"/>
        <c:lblAlgn val="ctr"/>
        <c:lblOffset val="100"/>
        <c:noMultiLvlLbl val="0"/>
      </c:catAx>
      <c:valAx>
        <c:axId val="436622896"/>
        <c:scaling>
          <c:orientation val="minMax"/>
        </c:scaling>
        <c:delete val="1"/>
        <c:axPos val="l"/>
        <c:numFmt formatCode="0.00" sourceLinked="1"/>
        <c:majorTickMark val="none"/>
        <c:minorTickMark val="none"/>
        <c:tickLblPos val="nextTo"/>
        <c:crossAx val="4366225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[finance_project.xlsx]Analysis!PivotTable4</c:name>
    <c:fmtId val="33"/>
  </c:pivotSource>
  <c:chart>
    <c:autoTitleDeleted val="1"/>
    <c:pivotFmts>
      <c:pivotFmt>
        <c:idx val="0"/>
        <c:spPr>
          <a:solidFill>
            <a:srgbClr val="FF6B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B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B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Analysis!$K$34</c:f>
              <c:strCache>
                <c:ptCount val="1"/>
                <c:pt idx="0">
                  <c:v>Total</c:v>
                </c:pt>
              </c:strCache>
            </c:strRef>
          </c:tx>
          <c:spPr>
            <a:solidFill>
              <a:srgbClr val="FF6B6B"/>
            </a:solidFill>
            <a:ln>
              <a:noFill/>
            </a:ln>
            <a:effectLst/>
          </c:spPr>
          <c:invertIfNegative val="0"/>
          <c:cat>
            <c:strRef>
              <c:f>Analysis!$J$35:$J$40</c:f>
              <c:strCache>
                <c:ptCount val="5"/>
                <c:pt idx="0">
                  <c:v>2018</c:v>
                </c:pt>
                <c:pt idx="1">
                  <c:v>2019</c:v>
                </c:pt>
                <c:pt idx="2">
                  <c:v>2020</c:v>
                </c:pt>
                <c:pt idx="3">
                  <c:v>2021</c:v>
                </c:pt>
                <c:pt idx="4">
                  <c:v>2022</c:v>
                </c:pt>
              </c:strCache>
            </c:strRef>
          </c:cat>
          <c:val>
            <c:numRef>
              <c:f>Analysis!$K$35:$K$40</c:f>
              <c:numCache>
                <c:formatCode>0%</c:formatCode>
                <c:ptCount val="5"/>
                <c:pt idx="0">
                  <c:v>0.1860433962815255</c:v>
                </c:pt>
                <c:pt idx="1">
                  <c:v>0.1422358946980532</c:v>
                </c:pt>
                <c:pt idx="2">
                  <c:v>0.19909323243801222</c:v>
                </c:pt>
                <c:pt idx="3">
                  <c:v>0.18610385542717628</c:v>
                </c:pt>
                <c:pt idx="4">
                  <c:v>0.20450505581426806</c:v>
                </c:pt>
              </c:numCache>
            </c:numRef>
          </c:val>
          <c:extLst>
            <c:ext xmlns:c16="http://schemas.microsoft.com/office/drawing/2014/chart" uri="{C3380CC4-5D6E-409C-BE32-E72D297353CC}">
              <c16:uniqueId val="{00000000-B395-41AE-8987-72D79A8A4AB2}"/>
            </c:ext>
          </c:extLst>
        </c:ser>
        <c:dLbls>
          <c:showLegendKey val="0"/>
          <c:showVal val="0"/>
          <c:showCatName val="0"/>
          <c:showSerName val="0"/>
          <c:showPercent val="0"/>
          <c:showBubbleSize val="0"/>
        </c:dLbls>
        <c:gapWidth val="100"/>
        <c:overlap val="-27"/>
        <c:axId val="552685840"/>
        <c:axId val="433752048"/>
      </c:barChart>
      <c:catAx>
        <c:axId val="552685840"/>
        <c:scaling>
          <c:orientation val="minMax"/>
        </c:scaling>
        <c:delete val="1"/>
        <c:axPos val="b"/>
        <c:numFmt formatCode="General" sourceLinked="1"/>
        <c:majorTickMark val="none"/>
        <c:minorTickMark val="none"/>
        <c:tickLblPos val="nextTo"/>
        <c:crossAx val="433752048"/>
        <c:crosses val="autoZero"/>
        <c:auto val="1"/>
        <c:lblAlgn val="ctr"/>
        <c:lblOffset val="100"/>
        <c:noMultiLvlLbl val="0"/>
      </c:catAx>
      <c:valAx>
        <c:axId val="433752048"/>
        <c:scaling>
          <c:orientation val="minMax"/>
        </c:scaling>
        <c:delete val="1"/>
        <c:axPos val="l"/>
        <c:numFmt formatCode="0%" sourceLinked="1"/>
        <c:majorTickMark val="none"/>
        <c:minorTickMark val="none"/>
        <c:tickLblPos val="nextTo"/>
        <c:crossAx val="55268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chart" Target="../charts/chart21.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image" Target="../media/image6.svg"/><Relationship Id="rId17" Type="http://schemas.openxmlformats.org/officeDocument/2006/relationships/chart" Target="../charts/chart25.xml"/><Relationship Id="rId2" Type="http://schemas.openxmlformats.org/officeDocument/2006/relationships/image" Target="../media/image2.jpeg"/><Relationship Id="rId16" Type="http://schemas.openxmlformats.org/officeDocument/2006/relationships/chart" Target="../charts/chart24.xml"/><Relationship Id="rId1" Type="http://schemas.openxmlformats.org/officeDocument/2006/relationships/image" Target="../media/image1.jpg"/><Relationship Id="rId6" Type="http://schemas.openxmlformats.org/officeDocument/2006/relationships/chart" Target="../charts/chart18.xml"/><Relationship Id="rId11" Type="http://schemas.openxmlformats.org/officeDocument/2006/relationships/image" Target="../media/image5.png"/><Relationship Id="rId5" Type="http://schemas.openxmlformats.org/officeDocument/2006/relationships/chart" Target="../charts/chart17.xml"/><Relationship Id="rId15" Type="http://schemas.openxmlformats.org/officeDocument/2006/relationships/chart" Target="../charts/chart23.xml"/><Relationship Id="rId10" Type="http://schemas.openxmlformats.org/officeDocument/2006/relationships/image" Target="../media/image4.jpeg"/><Relationship Id="rId4" Type="http://schemas.openxmlformats.org/officeDocument/2006/relationships/chart" Target="../charts/chart16.xml"/><Relationship Id="rId9" Type="http://schemas.openxmlformats.org/officeDocument/2006/relationships/image" Target="../media/image3.jpeg"/><Relationship Id="rId1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2</xdr:col>
      <xdr:colOff>419100</xdr:colOff>
      <xdr:row>8</xdr:row>
      <xdr:rowOff>185737</xdr:rowOff>
    </xdr:from>
    <xdr:to>
      <xdr:col>6</xdr:col>
      <xdr:colOff>0</xdr:colOff>
      <xdr:row>24</xdr:row>
      <xdr:rowOff>71437</xdr:rowOff>
    </xdr:to>
    <xdr:graphicFrame macro="">
      <xdr:nvGraphicFramePr>
        <xdr:cNvPr id="2" name="Chart 1">
          <a:extLst>
            <a:ext uri="{FF2B5EF4-FFF2-40B4-BE49-F238E27FC236}">
              <a16:creationId xmlns:a16="http://schemas.microsoft.com/office/drawing/2014/main" id="{D45A0BD9-A4FE-ADE7-61CC-547DA89CE0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438150</xdr:colOff>
      <xdr:row>0</xdr:row>
      <xdr:rowOff>38100</xdr:rowOff>
    </xdr:from>
    <xdr:to>
      <xdr:col>8</xdr:col>
      <xdr:colOff>133350</xdr:colOff>
      <xdr:row>14</xdr:row>
      <xdr:rowOff>114300</xdr:rowOff>
    </xdr:to>
    <xdr:graphicFrame macro="">
      <xdr:nvGraphicFramePr>
        <xdr:cNvPr id="2" name="Chart 1">
          <a:extLst>
            <a:ext uri="{FF2B5EF4-FFF2-40B4-BE49-F238E27FC236}">
              <a16:creationId xmlns:a16="http://schemas.microsoft.com/office/drawing/2014/main" id="{2DC61A38-6AE4-4035-9817-DB53F101D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0</xdr:row>
      <xdr:rowOff>0</xdr:rowOff>
    </xdr:from>
    <xdr:to>
      <xdr:col>16</xdr:col>
      <xdr:colOff>304800</xdr:colOff>
      <xdr:row>14</xdr:row>
      <xdr:rowOff>76200</xdr:rowOff>
    </xdr:to>
    <xdr:graphicFrame macro="">
      <xdr:nvGraphicFramePr>
        <xdr:cNvPr id="3" name="Chart 2">
          <a:extLst>
            <a:ext uri="{FF2B5EF4-FFF2-40B4-BE49-F238E27FC236}">
              <a16:creationId xmlns:a16="http://schemas.microsoft.com/office/drawing/2014/main" id="{727CA99C-6811-4780-B9A9-F8F397D61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0</xdr:rowOff>
    </xdr:from>
    <xdr:to>
      <xdr:col>7</xdr:col>
      <xdr:colOff>304800</xdr:colOff>
      <xdr:row>30</xdr:row>
      <xdr:rowOff>76200</xdr:rowOff>
    </xdr:to>
    <xdr:graphicFrame macro="">
      <xdr:nvGraphicFramePr>
        <xdr:cNvPr id="4" name="Chart 3">
          <a:extLst>
            <a:ext uri="{FF2B5EF4-FFF2-40B4-BE49-F238E27FC236}">
              <a16:creationId xmlns:a16="http://schemas.microsoft.com/office/drawing/2014/main" id="{FCB96069-681A-4483-9FAE-7AB869BAAF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17</xdr:row>
      <xdr:rowOff>0</xdr:rowOff>
    </xdr:from>
    <xdr:to>
      <xdr:col>16</xdr:col>
      <xdr:colOff>304800</xdr:colOff>
      <xdr:row>31</xdr:row>
      <xdr:rowOff>76200</xdr:rowOff>
    </xdr:to>
    <xdr:graphicFrame macro="">
      <xdr:nvGraphicFramePr>
        <xdr:cNvPr id="5" name="Chart 4">
          <a:extLst>
            <a:ext uri="{FF2B5EF4-FFF2-40B4-BE49-F238E27FC236}">
              <a16:creationId xmlns:a16="http://schemas.microsoft.com/office/drawing/2014/main" id="{6AE91D27-7C1F-49AD-BA44-9DB942317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0</xdr:colOff>
      <xdr:row>1</xdr:row>
      <xdr:rowOff>0</xdr:rowOff>
    </xdr:from>
    <xdr:to>
      <xdr:col>24</xdr:col>
      <xdr:colOff>304800</xdr:colOff>
      <xdr:row>15</xdr:row>
      <xdr:rowOff>76200</xdr:rowOff>
    </xdr:to>
    <xdr:graphicFrame macro="">
      <xdr:nvGraphicFramePr>
        <xdr:cNvPr id="6" name="Chart 5">
          <a:extLst>
            <a:ext uri="{FF2B5EF4-FFF2-40B4-BE49-F238E27FC236}">
              <a16:creationId xmlns:a16="http://schemas.microsoft.com/office/drawing/2014/main" id="{6A9B17AD-814C-4D3C-BBE8-9297682FE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32</xdr:row>
      <xdr:rowOff>0</xdr:rowOff>
    </xdr:from>
    <xdr:to>
      <xdr:col>7</xdr:col>
      <xdr:colOff>304800</xdr:colOff>
      <xdr:row>46</xdr:row>
      <xdr:rowOff>76200</xdr:rowOff>
    </xdr:to>
    <xdr:graphicFrame macro="">
      <xdr:nvGraphicFramePr>
        <xdr:cNvPr id="7" name="Chart 6">
          <a:extLst>
            <a:ext uri="{FF2B5EF4-FFF2-40B4-BE49-F238E27FC236}">
              <a16:creationId xmlns:a16="http://schemas.microsoft.com/office/drawing/2014/main" id="{95A41E4A-A24F-4F19-BA36-2C78F5726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0</xdr:colOff>
      <xdr:row>33</xdr:row>
      <xdr:rowOff>0</xdr:rowOff>
    </xdr:from>
    <xdr:to>
      <xdr:col>16</xdr:col>
      <xdr:colOff>304800</xdr:colOff>
      <xdr:row>47</xdr:row>
      <xdr:rowOff>76200</xdr:rowOff>
    </xdr:to>
    <xdr:graphicFrame macro="">
      <xdr:nvGraphicFramePr>
        <xdr:cNvPr id="8" name="Chart 7">
          <a:extLst>
            <a:ext uri="{FF2B5EF4-FFF2-40B4-BE49-F238E27FC236}">
              <a16:creationId xmlns:a16="http://schemas.microsoft.com/office/drawing/2014/main" id="{786C5280-5777-4065-9A87-0D8E778E5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0</xdr:colOff>
      <xdr:row>17</xdr:row>
      <xdr:rowOff>0</xdr:rowOff>
    </xdr:from>
    <xdr:to>
      <xdr:col>28</xdr:col>
      <xdr:colOff>38100</xdr:colOff>
      <xdr:row>32</xdr:row>
      <xdr:rowOff>76200</xdr:rowOff>
    </xdr:to>
    <xdr:graphicFrame macro="">
      <xdr:nvGraphicFramePr>
        <xdr:cNvPr id="9" name="Chart 8">
          <a:extLst>
            <a:ext uri="{FF2B5EF4-FFF2-40B4-BE49-F238E27FC236}">
              <a16:creationId xmlns:a16="http://schemas.microsoft.com/office/drawing/2014/main" id="{A0AB7198-6CB1-4047-BD76-277DF36CE7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0</xdr:colOff>
      <xdr:row>34</xdr:row>
      <xdr:rowOff>0</xdr:rowOff>
    </xdr:from>
    <xdr:to>
      <xdr:col>24</xdr:col>
      <xdr:colOff>333375</xdr:colOff>
      <xdr:row>44</xdr:row>
      <xdr:rowOff>33338</xdr:rowOff>
    </xdr:to>
    <xdr:graphicFrame macro="">
      <xdr:nvGraphicFramePr>
        <xdr:cNvPr id="10" name="Chart 9">
          <a:extLst>
            <a:ext uri="{FF2B5EF4-FFF2-40B4-BE49-F238E27FC236}">
              <a16:creationId xmlns:a16="http://schemas.microsoft.com/office/drawing/2014/main" id="{CFF74DE2-480F-4120-BC3D-2804481AA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0</xdr:colOff>
      <xdr:row>1</xdr:row>
      <xdr:rowOff>0</xdr:rowOff>
    </xdr:from>
    <xdr:to>
      <xdr:col>33</xdr:col>
      <xdr:colOff>304800</xdr:colOff>
      <xdr:row>15</xdr:row>
      <xdr:rowOff>76200</xdr:rowOff>
    </xdr:to>
    <xdr:graphicFrame macro="">
      <xdr:nvGraphicFramePr>
        <xdr:cNvPr id="11" name="Chart 10">
          <a:extLst>
            <a:ext uri="{FF2B5EF4-FFF2-40B4-BE49-F238E27FC236}">
              <a16:creationId xmlns:a16="http://schemas.microsoft.com/office/drawing/2014/main" id="{31DDE081-4960-4654-BBDA-1ABDA699D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26</xdr:col>
      <xdr:colOff>0</xdr:colOff>
      <xdr:row>35</xdr:row>
      <xdr:rowOff>0</xdr:rowOff>
    </xdr:from>
    <xdr:to>
      <xdr:col>31</xdr:col>
      <xdr:colOff>476250</xdr:colOff>
      <xdr:row>46</xdr:row>
      <xdr:rowOff>80963</xdr:rowOff>
    </xdr:to>
    <xdr:graphicFrame macro="">
      <xdr:nvGraphicFramePr>
        <xdr:cNvPr id="12" name="Chart 11">
          <a:extLst>
            <a:ext uri="{FF2B5EF4-FFF2-40B4-BE49-F238E27FC236}">
              <a16:creationId xmlns:a16="http://schemas.microsoft.com/office/drawing/2014/main" id="{120EA0AD-428F-4077-8E46-13AA95AE7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0</xdr:colOff>
      <xdr:row>20</xdr:row>
      <xdr:rowOff>0</xdr:rowOff>
    </xdr:from>
    <xdr:to>
      <xdr:col>34</xdr:col>
      <xdr:colOff>190500</xdr:colOff>
      <xdr:row>34</xdr:row>
      <xdr:rowOff>76200</xdr:rowOff>
    </xdr:to>
    <xdr:graphicFrame macro="">
      <xdr:nvGraphicFramePr>
        <xdr:cNvPr id="13" name="Chart 12">
          <a:extLst>
            <a:ext uri="{FF2B5EF4-FFF2-40B4-BE49-F238E27FC236}">
              <a16:creationId xmlns:a16="http://schemas.microsoft.com/office/drawing/2014/main" id="{724435B9-D48A-4CE8-811C-E57622DE6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35</xdr:col>
      <xdr:colOff>0</xdr:colOff>
      <xdr:row>10</xdr:row>
      <xdr:rowOff>0</xdr:rowOff>
    </xdr:from>
    <xdr:to>
      <xdr:col>42</xdr:col>
      <xdr:colOff>304800</xdr:colOff>
      <xdr:row>24</xdr:row>
      <xdr:rowOff>76200</xdr:rowOff>
    </xdr:to>
    <xdr:graphicFrame macro="">
      <xdr:nvGraphicFramePr>
        <xdr:cNvPr id="14" name="Chart 13">
          <a:extLst>
            <a:ext uri="{FF2B5EF4-FFF2-40B4-BE49-F238E27FC236}">
              <a16:creationId xmlns:a16="http://schemas.microsoft.com/office/drawing/2014/main" id="{8865DC3B-269B-4937-882B-24562AABC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449036</xdr:colOff>
      <xdr:row>54</xdr:row>
      <xdr:rowOff>38099</xdr:rowOff>
    </xdr:to>
    <xdr:pic>
      <xdr:nvPicPr>
        <xdr:cNvPr id="5" name="Picture 4">
          <a:extLst>
            <a:ext uri="{FF2B5EF4-FFF2-40B4-BE49-F238E27FC236}">
              <a16:creationId xmlns:a16="http://schemas.microsoft.com/office/drawing/2014/main" id="{0BBEEB17-8B35-E183-DCF7-0A97F426AF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8127436" cy="10325099"/>
        </a:xfrm>
        <a:prstGeom prst="rect">
          <a:avLst/>
        </a:prstGeom>
      </xdr:spPr>
    </xdr:pic>
    <xdr:clientData/>
  </xdr:twoCellAnchor>
  <xdr:twoCellAnchor>
    <xdr:from>
      <xdr:col>3</xdr:col>
      <xdr:colOff>21436</xdr:colOff>
      <xdr:row>1</xdr:row>
      <xdr:rowOff>4762</xdr:rowOff>
    </xdr:from>
    <xdr:to>
      <xdr:col>5</xdr:col>
      <xdr:colOff>390525</xdr:colOff>
      <xdr:row>4</xdr:row>
      <xdr:rowOff>185736</xdr:rowOff>
    </xdr:to>
    <xdr:sp macro="" textlink="">
      <xdr:nvSpPr>
        <xdr:cNvPr id="7" name="Rectangle: Rounded Corners 6">
          <a:extLst>
            <a:ext uri="{FF2B5EF4-FFF2-40B4-BE49-F238E27FC236}">
              <a16:creationId xmlns:a16="http://schemas.microsoft.com/office/drawing/2014/main" id="{2907B2BA-2591-13E0-07EF-F509E1848CCA}"/>
            </a:ext>
          </a:extLst>
        </xdr:cNvPr>
        <xdr:cNvSpPr/>
      </xdr:nvSpPr>
      <xdr:spPr>
        <a:xfrm>
          <a:off x="1850236" y="195262"/>
          <a:ext cx="1588289" cy="752474"/>
        </a:xfrm>
        <a:prstGeom prst="roundRect">
          <a:avLst/>
        </a:prstGeom>
        <a:blipFill dpi="0" rotWithShape="1">
          <a:blip xmlns:r="http://schemas.openxmlformats.org/officeDocument/2006/relationships" r:embed="rId2" cstate="print">
            <a:extLst>
              <a:ext uri="{28A0092B-C50C-407E-A947-70E740481C1C}">
                <a14:useLocalDpi xmlns:a14="http://schemas.microsoft.com/office/drawing/2010/main" val="0"/>
              </a:ext>
            </a:extLst>
          </a:blip>
          <a:srcRect/>
          <a:stretch>
            <a:fillRect/>
          </a:stretch>
        </a:bli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16671</xdr:colOff>
      <xdr:row>18</xdr:row>
      <xdr:rowOff>123825</xdr:rowOff>
    </xdr:from>
    <xdr:to>
      <xdr:col>11</xdr:col>
      <xdr:colOff>342901</xdr:colOff>
      <xdr:row>33</xdr:row>
      <xdr:rowOff>38100</xdr:rowOff>
    </xdr:to>
    <xdr:graphicFrame macro="">
      <xdr:nvGraphicFramePr>
        <xdr:cNvPr id="17" name="Chart 16">
          <a:extLst>
            <a:ext uri="{FF2B5EF4-FFF2-40B4-BE49-F238E27FC236}">
              <a16:creationId xmlns:a16="http://schemas.microsoft.com/office/drawing/2014/main" id="{08F16C1B-FBFE-44F9-BC48-029FEA880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9527</xdr:colOff>
      <xdr:row>5</xdr:row>
      <xdr:rowOff>104539</xdr:rowOff>
    </xdr:from>
    <xdr:to>
      <xdr:col>9</xdr:col>
      <xdr:colOff>228601</xdr:colOff>
      <xdr:row>18</xdr:row>
      <xdr:rowOff>62149</xdr:rowOff>
    </xdr:to>
    <xdr:graphicFrame macro="">
      <xdr:nvGraphicFramePr>
        <xdr:cNvPr id="18" name="Chart 17">
          <a:extLst>
            <a:ext uri="{FF2B5EF4-FFF2-40B4-BE49-F238E27FC236}">
              <a16:creationId xmlns:a16="http://schemas.microsoft.com/office/drawing/2014/main" id="{A9DDD7DC-3458-460C-B028-2E59378B4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300038</xdr:colOff>
      <xdr:row>5</xdr:row>
      <xdr:rowOff>109538</xdr:rowOff>
    </xdr:from>
    <xdr:to>
      <xdr:col>15</xdr:col>
      <xdr:colOff>300038</xdr:colOff>
      <xdr:row>18</xdr:row>
      <xdr:rowOff>57150</xdr:rowOff>
    </xdr:to>
    <xdr:graphicFrame macro="">
      <xdr:nvGraphicFramePr>
        <xdr:cNvPr id="19" name="Chart 18">
          <a:extLst>
            <a:ext uri="{FF2B5EF4-FFF2-40B4-BE49-F238E27FC236}">
              <a16:creationId xmlns:a16="http://schemas.microsoft.com/office/drawing/2014/main" id="{EBBC1400-8350-4352-A6E3-F00BBD6E4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371475</xdr:colOff>
      <xdr:row>5</xdr:row>
      <xdr:rowOff>112037</xdr:rowOff>
    </xdr:from>
    <xdr:to>
      <xdr:col>20</xdr:col>
      <xdr:colOff>85725</xdr:colOff>
      <xdr:row>18</xdr:row>
      <xdr:rowOff>54651</xdr:rowOff>
    </xdr:to>
    <xdr:graphicFrame macro="">
      <xdr:nvGraphicFramePr>
        <xdr:cNvPr id="20" name="Chart 19">
          <a:extLst>
            <a:ext uri="{FF2B5EF4-FFF2-40B4-BE49-F238E27FC236}">
              <a16:creationId xmlns:a16="http://schemas.microsoft.com/office/drawing/2014/main" id="{925E3DAB-8DB5-46CD-8E6D-337A248B4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409576</xdr:colOff>
      <xdr:row>18</xdr:row>
      <xdr:rowOff>133350</xdr:rowOff>
    </xdr:from>
    <xdr:to>
      <xdr:col>15</xdr:col>
      <xdr:colOff>314326</xdr:colOff>
      <xdr:row>33</xdr:row>
      <xdr:rowOff>28575</xdr:rowOff>
    </xdr:to>
    <xdr:graphicFrame macro="">
      <xdr:nvGraphicFramePr>
        <xdr:cNvPr id="21" name="Chart 20">
          <a:extLst>
            <a:ext uri="{FF2B5EF4-FFF2-40B4-BE49-F238E27FC236}">
              <a16:creationId xmlns:a16="http://schemas.microsoft.com/office/drawing/2014/main" id="{5ECC4990-5D7A-4A4A-B615-A3CF1DAA7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381000</xdr:colOff>
      <xdr:row>18</xdr:row>
      <xdr:rowOff>138112</xdr:rowOff>
    </xdr:from>
    <xdr:to>
      <xdr:col>20</xdr:col>
      <xdr:colOff>104775</xdr:colOff>
      <xdr:row>33</xdr:row>
      <xdr:rowOff>23812</xdr:rowOff>
    </xdr:to>
    <xdr:graphicFrame macro="">
      <xdr:nvGraphicFramePr>
        <xdr:cNvPr id="22" name="Chart 21">
          <a:extLst>
            <a:ext uri="{FF2B5EF4-FFF2-40B4-BE49-F238E27FC236}">
              <a16:creationId xmlns:a16="http://schemas.microsoft.com/office/drawing/2014/main" id="{7FE11126-405C-4347-92DB-561E26991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269086</xdr:colOff>
      <xdr:row>1</xdr:row>
      <xdr:rowOff>4762</xdr:rowOff>
    </xdr:from>
    <xdr:to>
      <xdr:col>20</xdr:col>
      <xdr:colOff>28575</xdr:colOff>
      <xdr:row>4</xdr:row>
      <xdr:rowOff>185736</xdr:rowOff>
    </xdr:to>
    <xdr:sp macro="" textlink="">
      <xdr:nvSpPr>
        <xdr:cNvPr id="23" name="Rectangle: Rounded Corners 22">
          <a:extLst>
            <a:ext uri="{FF2B5EF4-FFF2-40B4-BE49-F238E27FC236}">
              <a16:creationId xmlns:a16="http://schemas.microsoft.com/office/drawing/2014/main" id="{91BB2AA9-972B-4379-8FB7-BD70F1957C29}"/>
            </a:ext>
          </a:extLst>
        </xdr:cNvPr>
        <xdr:cNvSpPr/>
      </xdr:nvSpPr>
      <xdr:spPr>
        <a:xfrm>
          <a:off x="10632286" y="195262"/>
          <a:ext cx="1588289" cy="752474"/>
        </a:xfrm>
        <a:prstGeom prst="roundRect">
          <a:avLst/>
        </a:prstGeom>
        <a:blipFill dpi="0" rotWithShape="1">
          <a:blip xmlns:r="http://schemas.openxmlformats.org/officeDocument/2006/relationships" r:embed="rId9" cstate="print">
            <a:extLst>
              <a:ext uri="{28A0092B-C50C-407E-A947-70E740481C1C}">
                <a14:useLocalDpi xmlns:a14="http://schemas.microsoft.com/office/drawing/2010/main" val="0"/>
              </a:ext>
            </a:extLst>
          </a:blip>
          <a:srcRect/>
          <a:stretch>
            <a:fillRect/>
          </a:stretch>
        </a:bli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507211</xdr:colOff>
      <xdr:row>1</xdr:row>
      <xdr:rowOff>4762</xdr:rowOff>
    </xdr:from>
    <xdr:to>
      <xdr:col>16</xdr:col>
      <xdr:colOff>266700</xdr:colOff>
      <xdr:row>4</xdr:row>
      <xdr:rowOff>185736</xdr:rowOff>
    </xdr:to>
    <xdr:sp macro="" textlink="">
      <xdr:nvSpPr>
        <xdr:cNvPr id="24" name="Rectangle: Rounded Corners 23">
          <a:extLst>
            <a:ext uri="{FF2B5EF4-FFF2-40B4-BE49-F238E27FC236}">
              <a16:creationId xmlns:a16="http://schemas.microsoft.com/office/drawing/2014/main" id="{E081E9AE-78A8-4517-B0AD-5306FE877A37}"/>
            </a:ext>
          </a:extLst>
        </xdr:cNvPr>
        <xdr:cNvSpPr/>
      </xdr:nvSpPr>
      <xdr:spPr>
        <a:xfrm>
          <a:off x="8432011" y="195262"/>
          <a:ext cx="1588289" cy="752474"/>
        </a:xfrm>
        <a:prstGeom prst="roundRect">
          <a:avLst/>
        </a:prstGeom>
        <a:blipFill dpi="0" rotWithShape="1">
          <a:blip xmlns:r="http://schemas.openxmlformats.org/officeDocument/2006/relationships" r:embed="rId9" cstate="print">
            <a:extLst>
              <a:ext uri="{28A0092B-C50C-407E-A947-70E740481C1C}">
                <a14:useLocalDpi xmlns:a14="http://schemas.microsoft.com/office/drawing/2010/main" val="0"/>
              </a:ext>
            </a:extLst>
          </a:blip>
          <a:srcRect/>
          <a:stretch>
            <a:fillRect/>
          </a:stretch>
        </a:bli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135736</xdr:colOff>
      <xdr:row>1</xdr:row>
      <xdr:rowOff>4762</xdr:rowOff>
    </xdr:from>
    <xdr:to>
      <xdr:col>12</xdr:col>
      <xdr:colOff>504825</xdr:colOff>
      <xdr:row>4</xdr:row>
      <xdr:rowOff>185736</xdr:rowOff>
    </xdr:to>
    <xdr:sp macro="" textlink="">
      <xdr:nvSpPr>
        <xdr:cNvPr id="25" name="Rectangle: Rounded Corners 24">
          <a:extLst>
            <a:ext uri="{FF2B5EF4-FFF2-40B4-BE49-F238E27FC236}">
              <a16:creationId xmlns:a16="http://schemas.microsoft.com/office/drawing/2014/main" id="{9828E1C3-7CA8-438C-986C-934089B6B3EA}"/>
            </a:ext>
          </a:extLst>
        </xdr:cNvPr>
        <xdr:cNvSpPr/>
      </xdr:nvSpPr>
      <xdr:spPr>
        <a:xfrm>
          <a:off x="6231736" y="195262"/>
          <a:ext cx="1588289" cy="752474"/>
        </a:xfrm>
        <a:prstGeom prst="roundRect">
          <a:avLst/>
        </a:prstGeom>
        <a:blipFill dpi="0" rotWithShape="1">
          <a:blip xmlns:r="http://schemas.openxmlformats.org/officeDocument/2006/relationships" r:embed="rId2" cstate="print">
            <a:extLst>
              <a:ext uri="{28A0092B-C50C-407E-A947-70E740481C1C}">
                <a14:useLocalDpi xmlns:a14="http://schemas.microsoft.com/office/drawing/2010/main" val="0"/>
              </a:ext>
            </a:extLst>
          </a:blip>
          <a:srcRect/>
          <a:stretch>
            <a:fillRect/>
          </a:stretch>
        </a:bli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373861</xdr:colOff>
      <xdr:row>1</xdr:row>
      <xdr:rowOff>4762</xdr:rowOff>
    </xdr:from>
    <xdr:to>
      <xdr:col>9</xdr:col>
      <xdr:colOff>133350</xdr:colOff>
      <xdr:row>4</xdr:row>
      <xdr:rowOff>185736</xdr:rowOff>
    </xdr:to>
    <xdr:sp macro="" textlink="">
      <xdr:nvSpPr>
        <xdr:cNvPr id="26" name="Rectangle: Rounded Corners 25">
          <a:extLst>
            <a:ext uri="{FF2B5EF4-FFF2-40B4-BE49-F238E27FC236}">
              <a16:creationId xmlns:a16="http://schemas.microsoft.com/office/drawing/2014/main" id="{DA44B226-69EC-4D50-A1FC-59DCD833DA7A}"/>
            </a:ext>
          </a:extLst>
        </xdr:cNvPr>
        <xdr:cNvSpPr/>
      </xdr:nvSpPr>
      <xdr:spPr>
        <a:xfrm>
          <a:off x="4031461" y="195262"/>
          <a:ext cx="1588289" cy="752474"/>
        </a:xfrm>
        <a:prstGeom prst="roundRect">
          <a:avLst/>
        </a:prstGeom>
        <a:blipFill dpi="0" rotWithShape="1">
          <a:blip xmlns:r="http://schemas.openxmlformats.org/officeDocument/2006/relationships" r:embed="rId10" cstate="print">
            <a:extLst>
              <a:ext uri="{28A0092B-C50C-407E-A947-70E740481C1C}">
                <a14:useLocalDpi xmlns:a14="http://schemas.microsoft.com/office/drawing/2010/main" val="0"/>
              </a:ext>
            </a:extLst>
          </a:blip>
          <a:srcRect/>
          <a:stretch>
            <a:fillRect/>
          </a:stretch>
        </a:bli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85724</xdr:colOff>
      <xdr:row>0</xdr:row>
      <xdr:rowOff>71439</xdr:rowOff>
    </xdr:from>
    <xdr:to>
      <xdr:col>2</xdr:col>
      <xdr:colOff>526255</xdr:colOff>
      <xdr:row>33</xdr:row>
      <xdr:rowOff>77755</xdr:rowOff>
    </xdr:to>
    <xdr:sp macro="" textlink="">
      <xdr:nvSpPr>
        <xdr:cNvPr id="6" name="Rectangle: Rounded Corners 5">
          <a:extLst>
            <a:ext uri="{FF2B5EF4-FFF2-40B4-BE49-F238E27FC236}">
              <a16:creationId xmlns:a16="http://schemas.microsoft.com/office/drawing/2014/main" id="{5B59CA8A-31DD-C78E-B0E5-A7A50E2E8A29}"/>
            </a:ext>
          </a:extLst>
        </xdr:cNvPr>
        <xdr:cNvSpPr/>
      </xdr:nvSpPr>
      <xdr:spPr>
        <a:xfrm>
          <a:off x="85724" y="71439"/>
          <a:ext cx="1665174" cy="6421112"/>
        </a:xfrm>
        <a:prstGeom prst="roundRect">
          <a:avLst/>
        </a:prstGeom>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0</xdr:col>
      <xdr:colOff>184672</xdr:colOff>
      <xdr:row>2</xdr:row>
      <xdr:rowOff>58318</xdr:rowOff>
    </xdr:from>
    <xdr:to>
      <xdr:col>0</xdr:col>
      <xdr:colOff>563726</xdr:colOff>
      <xdr:row>4</xdr:row>
      <xdr:rowOff>48597</xdr:rowOff>
    </xdr:to>
    <xdr:pic>
      <xdr:nvPicPr>
        <xdr:cNvPr id="31" name="Graphic 30" descr="Bar graph with downward trend with solid fill">
          <a:extLst>
            <a:ext uri="{FF2B5EF4-FFF2-40B4-BE49-F238E27FC236}">
              <a16:creationId xmlns:a16="http://schemas.microsoft.com/office/drawing/2014/main" id="{437E9647-4ED4-D6F3-697C-771F506C677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84672" y="447094"/>
          <a:ext cx="379054" cy="379054"/>
        </a:xfrm>
        <a:prstGeom prst="rect">
          <a:avLst/>
        </a:prstGeom>
      </xdr:spPr>
    </xdr:pic>
    <xdr:clientData/>
  </xdr:twoCellAnchor>
  <xdr:twoCellAnchor>
    <xdr:from>
      <xdr:col>0</xdr:col>
      <xdr:colOff>592887</xdr:colOff>
      <xdr:row>2</xdr:row>
      <xdr:rowOff>43738</xdr:rowOff>
    </xdr:from>
    <xdr:to>
      <xdr:col>0</xdr:col>
      <xdr:colOff>602606</xdr:colOff>
      <xdr:row>4</xdr:row>
      <xdr:rowOff>63177</xdr:rowOff>
    </xdr:to>
    <xdr:cxnSp macro="">
      <xdr:nvCxnSpPr>
        <xdr:cNvPr id="33" name="Straight Connector 32">
          <a:extLst>
            <a:ext uri="{FF2B5EF4-FFF2-40B4-BE49-F238E27FC236}">
              <a16:creationId xmlns:a16="http://schemas.microsoft.com/office/drawing/2014/main" id="{A34FC7B6-E901-E3AF-EC42-3023A58C66D7}"/>
            </a:ext>
          </a:extLst>
        </xdr:cNvPr>
        <xdr:cNvCxnSpPr/>
      </xdr:nvCxnSpPr>
      <xdr:spPr>
        <a:xfrm flipH="1">
          <a:off x="592887" y="432514"/>
          <a:ext cx="9719" cy="408214"/>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603253</xdr:colOff>
      <xdr:row>2</xdr:row>
      <xdr:rowOff>31748</xdr:rowOff>
    </xdr:from>
    <xdr:to>
      <xdr:col>3</xdr:col>
      <xdr:colOff>8860</xdr:colOff>
      <xdr:row>4</xdr:row>
      <xdr:rowOff>159826</xdr:rowOff>
    </xdr:to>
    <xdr:sp macro="" textlink="">
      <xdr:nvSpPr>
        <xdr:cNvPr id="34" name="TextBox 33">
          <a:extLst>
            <a:ext uri="{FF2B5EF4-FFF2-40B4-BE49-F238E27FC236}">
              <a16:creationId xmlns:a16="http://schemas.microsoft.com/office/drawing/2014/main" id="{C82216F1-03CF-447D-EC15-FFF8F6CF2DA6}"/>
            </a:ext>
          </a:extLst>
        </xdr:cNvPr>
        <xdr:cNvSpPr txBox="1"/>
      </xdr:nvSpPr>
      <xdr:spPr>
        <a:xfrm>
          <a:off x="603253" y="412748"/>
          <a:ext cx="1247107" cy="509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Trebuchet MS" panose="020B0603020202020204" pitchFamily="34" charset="0"/>
            </a:rPr>
            <a:t>Financial</a:t>
          </a:r>
        </a:p>
        <a:p>
          <a:r>
            <a:rPr lang="en-US" sz="1200" b="1">
              <a:solidFill>
                <a:schemeClr val="bg1"/>
              </a:solidFill>
              <a:latin typeface="Trebuchet MS" panose="020B0603020202020204" pitchFamily="34" charset="0"/>
            </a:rPr>
            <a:t>Performance</a:t>
          </a:r>
          <a:endParaRPr lang="en-NG" sz="1200" b="1">
            <a:solidFill>
              <a:schemeClr val="bg1"/>
            </a:solidFill>
            <a:latin typeface="Trebuchet MS" panose="020B0603020202020204" pitchFamily="34" charset="0"/>
          </a:endParaRPr>
        </a:p>
      </xdr:txBody>
    </xdr:sp>
    <xdr:clientData/>
  </xdr:twoCellAnchor>
  <xdr:twoCellAnchor editAs="oneCell">
    <xdr:from>
      <xdr:col>0</xdr:col>
      <xdr:colOff>167951</xdr:colOff>
      <xdr:row>4</xdr:row>
      <xdr:rowOff>169334</xdr:rowOff>
    </xdr:from>
    <xdr:to>
      <xdr:col>2</xdr:col>
      <xdr:colOff>432513</xdr:colOff>
      <xdr:row>24</xdr:row>
      <xdr:rowOff>95250</xdr:rowOff>
    </xdr:to>
    <mc:AlternateContent xmlns:mc="http://schemas.openxmlformats.org/markup-compatibility/2006">
      <mc:Choice xmlns:a14="http://schemas.microsoft.com/office/drawing/2010/main" Requires="a14">
        <xdr:graphicFrame macro="">
          <xdr:nvGraphicFramePr>
            <xdr:cNvPr id="2" name="Date (Month)">
              <a:extLst>
                <a:ext uri="{FF2B5EF4-FFF2-40B4-BE49-F238E27FC236}">
                  <a16:creationId xmlns:a16="http://schemas.microsoft.com/office/drawing/2014/main" id="{046C3981-BDFE-338E-1115-F6DED691858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67951" y="931334"/>
              <a:ext cx="1492229" cy="373591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163091</xdr:colOff>
      <xdr:row>24</xdr:row>
      <xdr:rowOff>150326</xdr:rowOff>
    </xdr:from>
    <xdr:to>
      <xdr:col>2</xdr:col>
      <xdr:colOff>437372</xdr:colOff>
      <xdr:row>32</xdr:row>
      <xdr:rowOff>105831</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F9B47AA3-E80C-F14D-6732-C2423761D7B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3091" y="4722326"/>
              <a:ext cx="1501948" cy="147950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194389</xdr:colOff>
      <xdr:row>2</xdr:row>
      <xdr:rowOff>58315</xdr:rowOff>
    </xdr:from>
    <xdr:to>
      <xdr:col>5</xdr:col>
      <xdr:colOff>194388</xdr:colOff>
      <xdr:row>3</xdr:row>
      <xdr:rowOff>174949</xdr:rowOff>
    </xdr:to>
    <xdr:sp macro="" textlink="Analysis!I24">
      <xdr:nvSpPr>
        <xdr:cNvPr id="4" name="TextBox 3">
          <a:extLst>
            <a:ext uri="{FF2B5EF4-FFF2-40B4-BE49-F238E27FC236}">
              <a16:creationId xmlns:a16="http://schemas.microsoft.com/office/drawing/2014/main" id="{86F90DAE-7DF0-1454-7745-002D355C9202}"/>
            </a:ext>
          </a:extLst>
        </xdr:cNvPr>
        <xdr:cNvSpPr txBox="1"/>
      </xdr:nvSpPr>
      <xdr:spPr>
        <a:xfrm>
          <a:off x="2031353" y="447091"/>
          <a:ext cx="1224642" cy="311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A51A1F-7466-4B87-B075-E04E5D442145}" type="TxLink">
            <a:rPr lang="en-US" sz="1200" b="1" i="0" u="none" strike="noStrike">
              <a:solidFill>
                <a:schemeClr val="bg1"/>
              </a:solidFill>
              <a:latin typeface="Calibri"/>
              <a:ea typeface="Calibri"/>
              <a:cs typeface="Calibri"/>
            </a:rPr>
            <a:t> $142,626,958.0 </a:t>
          </a:fld>
          <a:endParaRPr lang="en-US" sz="1200" b="1">
            <a:solidFill>
              <a:schemeClr val="bg1"/>
            </a:solidFill>
          </a:endParaRPr>
        </a:p>
      </xdr:txBody>
    </xdr:sp>
    <xdr:clientData/>
  </xdr:twoCellAnchor>
  <xdr:twoCellAnchor>
    <xdr:from>
      <xdr:col>3</xdr:col>
      <xdr:colOff>48601</xdr:colOff>
      <xdr:row>1</xdr:row>
      <xdr:rowOff>68037</xdr:rowOff>
    </xdr:from>
    <xdr:to>
      <xdr:col>4</xdr:col>
      <xdr:colOff>136075</xdr:colOff>
      <xdr:row>2</xdr:row>
      <xdr:rowOff>68037</xdr:rowOff>
    </xdr:to>
    <xdr:sp macro="" textlink="">
      <xdr:nvSpPr>
        <xdr:cNvPr id="8" name="TextBox 7">
          <a:extLst>
            <a:ext uri="{FF2B5EF4-FFF2-40B4-BE49-F238E27FC236}">
              <a16:creationId xmlns:a16="http://schemas.microsoft.com/office/drawing/2014/main" id="{D4BB841C-B1CF-9171-BEA9-5805101256FC}"/>
            </a:ext>
          </a:extLst>
        </xdr:cNvPr>
        <xdr:cNvSpPr txBox="1"/>
      </xdr:nvSpPr>
      <xdr:spPr>
        <a:xfrm>
          <a:off x="1885565" y="262425"/>
          <a:ext cx="699796" cy="194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chemeClr val="bg1"/>
              </a:solidFill>
              <a:latin typeface="Trebuchet MS" panose="020B0603020202020204" pitchFamily="34" charset="0"/>
            </a:rPr>
            <a:t>Revenue</a:t>
          </a:r>
          <a:endParaRPr lang="en-NG" sz="900" b="0">
            <a:solidFill>
              <a:schemeClr val="bg1"/>
            </a:solidFill>
            <a:latin typeface="Trebuchet MS" panose="020B0603020202020204" pitchFamily="34" charset="0"/>
          </a:endParaRPr>
        </a:p>
      </xdr:txBody>
    </xdr:sp>
    <xdr:clientData/>
  </xdr:twoCellAnchor>
  <xdr:twoCellAnchor>
    <xdr:from>
      <xdr:col>3</xdr:col>
      <xdr:colOff>388779</xdr:colOff>
      <xdr:row>3</xdr:row>
      <xdr:rowOff>0</xdr:rowOff>
    </xdr:from>
    <xdr:to>
      <xdr:col>5</xdr:col>
      <xdr:colOff>48597</xdr:colOff>
      <xdr:row>5</xdr:row>
      <xdr:rowOff>9719</xdr:rowOff>
    </xdr:to>
    <xdr:graphicFrame macro="">
      <xdr:nvGraphicFramePr>
        <xdr:cNvPr id="12" name="Chart 11">
          <a:extLst>
            <a:ext uri="{FF2B5EF4-FFF2-40B4-BE49-F238E27FC236}">
              <a16:creationId xmlns:a16="http://schemas.microsoft.com/office/drawing/2014/main" id="{A6FB9CA4-4114-487D-8C43-2541FB9DA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406127</xdr:colOff>
      <xdr:row>1</xdr:row>
      <xdr:rowOff>68907</xdr:rowOff>
    </xdr:from>
    <xdr:to>
      <xdr:col>7</xdr:col>
      <xdr:colOff>493602</xdr:colOff>
      <xdr:row>2</xdr:row>
      <xdr:rowOff>68907</xdr:rowOff>
    </xdr:to>
    <xdr:sp macro="" textlink="">
      <xdr:nvSpPr>
        <xdr:cNvPr id="14" name="TextBox 13">
          <a:extLst>
            <a:ext uri="{FF2B5EF4-FFF2-40B4-BE49-F238E27FC236}">
              <a16:creationId xmlns:a16="http://schemas.microsoft.com/office/drawing/2014/main" id="{C0D2A63B-4BC6-4859-9163-F0A456B16C29}"/>
            </a:ext>
          </a:extLst>
        </xdr:cNvPr>
        <xdr:cNvSpPr txBox="1"/>
      </xdr:nvSpPr>
      <xdr:spPr>
        <a:xfrm>
          <a:off x="4080056" y="263295"/>
          <a:ext cx="699796" cy="194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chemeClr val="bg1"/>
              </a:solidFill>
              <a:latin typeface="Trebuchet MS" panose="020B0603020202020204" pitchFamily="34" charset="0"/>
            </a:rPr>
            <a:t>Profit</a:t>
          </a:r>
          <a:endParaRPr lang="en-NG" sz="900" b="0">
            <a:solidFill>
              <a:schemeClr val="bg1"/>
            </a:solidFill>
            <a:latin typeface="Trebuchet MS" panose="020B0603020202020204" pitchFamily="34" charset="0"/>
          </a:endParaRPr>
        </a:p>
      </xdr:txBody>
    </xdr:sp>
    <xdr:clientData/>
  </xdr:twoCellAnchor>
  <xdr:twoCellAnchor>
    <xdr:from>
      <xdr:col>10</xdr:col>
      <xdr:colOff>166836</xdr:colOff>
      <xdr:row>1</xdr:row>
      <xdr:rowOff>59188</xdr:rowOff>
    </xdr:from>
    <xdr:to>
      <xdr:col>11</xdr:col>
      <xdr:colOff>254310</xdr:colOff>
      <xdr:row>2</xdr:row>
      <xdr:rowOff>59188</xdr:rowOff>
    </xdr:to>
    <xdr:sp macro="" textlink="">
      <xdr:nvSpPr>
        <xdr:cNvPr id="27" name="TextBox 26">
          <a:extLst>
            <a:ext uri="{FF2B5EF4-FFF2-40B4-BE49-F238E27FC236}">
              <a16:creationId xmlns:a16="http://schemas.microsoft.com/office/drawing/2014/main" id="{879CEC1F-2352-4E26-A5D4-B77B59E85E54}"/>
            </a:ext>
          </a:extLst>
        </xdr:cNvPr>
        <xdr:cNvSpPr txBox="1"/>
      </xdr:nvSpPr>
      <xdr:spPr>
        <a:xfrm>
          <a:off x="6290050" y="253576"/>
          <a:ext cx="699796" cy="194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chemeClr val="bg1"/>
              </a:solidFill>
              <a:latin typeface="Trebuchet MS" panose="020B0603020202020204" pitchFamily="34" charset="0"/>
            </a:rPr>
            <a:t>ROE</a:t>
          </a:r>
          <a:endParaRPr lang="en-NG" sz="900" b="0">
            <a:solidFill>
              <a:schemeClr val="bg1"/>
            </a:solidFill>
            <a:latin typeface="Trebuchet MS" panose="020B0603020202020204" pitchFamily="34" charset="0"/>
          </a:endParaRPr>
        </a:p>
      </xdr:txBody>
    </xdr:sp>
    <xdr:clientData/>
  </xdr:twoCellAnchor>
  <xdr:twoCellAnchor>
    <xdr:from>
      <xdr:col>14</xdr:col>
      <xdr:colOff>462109</xdr:colOff>
      <xdr:row>2</xdr:row>
      <xdr:rowOff>20309</xdr:rowOff>
    </xdr:from>
    <xdr:to>
      <xdr:col>15</xdr:col>
      <xdr:colOff>379056</xdr:colOff>
      <xdr:row>3</xdr:row>
      <xdr:rowOff>136943</xdr:rowOff>
    </xdr:to>
    <xdr:sp macro="" textlink="Analysis!I32">
      <xdr:nvSpPr>
        <xdr:cNvPr id="29" name="TextBox 28">
          <a:extLst>
            <a:ext uri="{FF2B5EF4-FFF2-40B4-BE49-F238E27FC236}">
              <a16:creationId xmlns:a16="http://schemas.microsoft.com/office/drawing/2014/main" id="{E9D2DBFE-E7CB-4018-AE4D-1172B103C833}"/>
            </a:ext>
          </a:extLst>
        </xdr:cNvPr>
        <xdr:cNvSpPr txBox="1"/>
      </xdr:nvSpPr>
      <xdr:spPr>
        <a:xfrm>
          <a:off x="9034609" y="409085"/>
          <a:ext cx="529268" cy="311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5FC4B4-8563-4C0C-A9C6-D94734354BCA}" type="TxLink">
            <a:rPr lang="en-US" sz="1200" b="1" i="0" u="none" strike="noStrike">
              <a:solidFill>
                <a:schemeClr val="bg1"/>
              </a:solidFill>
              <a:latin typeface="Calibri"/>
              <a:ea typeface="Calibri"/>
              <a:cs typeface="Calibri"/>
            </a:rPr>
            <a:t>0.05</a:t>
          </a:fld>
          <a:endParaRPr lang="en-US" sz="1200" b="1">
            <a:solidFill>
              <a:schemeClr val="bg1"/>
            </a:solidFill>
          </a:endParaRPr>
        </a:p>
      </xdr:txBody>
    </xdr:sp>
    <xdr:clientData/>
  </xdr:twoCellAnchor>
  <xdr:twoCellAnchor>
    <xdr:from>
      <xdr:col>13</xdr:col>
      <xdr:colOff>539866</xdr:colOff>
      <xdr:row>1</xdr:row>
      <xdr:rowOff>59188</xdr:rowOff>
    </xdr:from>
    <xdr:to>
      <xdr:col>15</xdr:col>
      <xdr:colOff>15020</xdr:colOff>
      <xdr:row>2</xdr:row>
      <xdr:rowOff>59188</xdr:rowOff>
    </xdr:to>
    <xdr:sp macro="" textlink="">
      <xdr:nvSpPr>
        <xdr:cNvPr id="30" name="TextBox 29">
          <a:extLst>
            <a:ext uri="{FF2B5EF4-FFF2-40B4-BE49-F238E27FC236}">
              <a16:creationId xmlns:a16="http://schemas.microsoft.com/office/drawing/2014/main" id="{AD40193C-5288-4BD1-86F7-BFB344594384}"/>
            </a:ext>
          </a:extLst>
        </xdr:cNvPr>
        <xdr:cNvSpPr txBox="1"/>
      </xdr:nvSpPr>
      <xdr:spPr>
        <a:xfrm>
          <a:off x="8500045" y="253576"/>
          <a:ext cx="699796" cy="194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chemeClr val="bg1"/>
              </a:solidFill>
              <a:latin typeface="Trebuchet MS" panose="020B0603020202020204" pitchFamily="34" charset="0"/>
            </a:rPr>
            <a:t>ROA</a:t>
          </a:r>
          <a:endParaRPr lang="en-NG" sz="900" b="0">
            <a:solidFill>
              <a:schemeClr val="bg1"/>
            </a:solidFill>
            <a:latin typeface="Trebuchet MS" panose="020B0603020202020204" pitchFamily="34" charset="0"/>
          </a:endParaRPr>
        </a:p>
      </xdr:txBody>
    </xdr:sp>
    <xdr:clientData/>
  </xdr:twoCellAnchor>
  <xdr:twoCellAnchor>
    <xdr:from>
      <xdr:col>18</xdr:col>
      <xdr:colOff>271413</xdr:colOff>
      <xdr:row>2</xdr:row>
      <xdr:rowOff>59193</xdr:rowOff>
    </xdr:from>
    <xdr:to>
      <xdr:col>19</xdr:col>
      <xdr:colOff>155510</xdr:colOff>
      <xdr:row>3</xdr:row>
      <xdr:rowOff>175827</xdr:rowOff>
    </xdr:to>
    <xdr:sp macro="" textlink="Analysis!E35">
      <xdr:nvSpPr>
        <xdr:cNvPr id="35" name="TextBox 34">
          <a:extLst>
            <a:ext uri="{FF2B5EF4-FFF2-40B4-BE49-F238E27FC236}">
              <a16:creationId xmlns:a16="http://schemas.microsoft.com/office/drawing/2014/main" id="{D8D9515B-5EFF-46AB-A0EC-4FBC9DC82BC4}"/>
            </a:ext>
          </a:extLst>
        </xdr:cNvPr>
        <xdr:cNvSpPr txBox="1"/>
      </xdr:nvSpPr>
      <xdr:spPr>
        <a:xfrm>
          <a:off x="11293199" y="447969"/>
          <a:ext cx="496418" cy="311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BAE444-3659-4401-878A-1542D05A2EDB}" type="TxLink">
            <a:rPr lang="en-US" sz="1200" b="1" i="0" u="none" strike="noStrike">
              <a:solidFill>
                <a:schemeClr val="bg1"/>
              </a:solidFill>
              <a:latin typeface="Calibri"/>
              <a:ea typeface="Calibri"/>
              <a:cs typeface="Calibri"/>
            </a:rPr>
            <a:t>18%</a:t>
          </a:fld>
          <a:endParaRPr lang="en-US" sz="1200" b="1">
            <a:solidFill>
              <a:schemeClr val="bg1"/>
            </a:solidFill>
          </a:endParaRPr>
        </a:p>
      </xdr:txBody>
    </xdr:sp>
    <xdr:clientData/>
  </xdr:twoCellAnchor>
  <xdr:twoCellAnchor>
    <xdr:from>
      <xdr:col>17</xdr:col>
      <xdr:colOff>300573</xdr:colOff>
      <xdr:row>1</xdr:row>
      <xdr:rowOff>68907</xdr:rowOff>
    </xdr:from>
    <xdr:to>
      <xdr:col>19</xdr:col>
      <xdr:colOff>116629</xdr:colOff>
      <xdr:row>2</xdr:row>
      <xdr:rowOff>126349</xdr:rowOff>
    </xdr:to>
    <xdr:sp macro="" textlink="">
      <xdr:nvSpPr>
        <xdr:cNvPr id="36" name="TextBox 35">
          <a:extLst>
            <a:ext uri="{FF2B5EF4-FFF2-40B4-BE49-F238E27FC236}">
              <a16:creationId xmlns:a16="http://schemas.microsoft.com/office/drawing/2014/main" id="{150189A3-DD15-4582-A2F3-FAED718D8118}"/>
            </a:ext>
          </a:extLst>
        </xdr:cNvPr>
        <xdr:cNvSpPr txBox="1"/>
      </xdr:nvSpPr>
      <xdr:spPr>
        <a:xfrm>
          <a:off x="10710037" y="263295"/>
          <a:ext cx="1040699" cy="251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chemeClr val="bg1"/>
              </a:solidFill>
              <a:latin typeface="Trebuchet MS" panose="020B0603020202020204" pitchFamily="34" charset="0"/>
            </a:rPr>
            <a:t>Profit</a:t>
          </a:r>
          <a:r>
            <a:rPr lang="en-US" sz="900" b="0" baseline="0">
              <a:solidFill>
                <a:schemeClr val="bg1"/>
              </a:solidFill>
              <a:latin typeface="Trebuchet MS" panose="020B0603020202020204" pitchFamily="34" charset="0"/>
            </a:rPr>
            <a:t> Margin</a:t>
          </a:r>
          <a:endParaRPr lang="en-NG" sz="900" b="0">
            <a:solidFill>
              <a:schemeClr val="bg1"/>
            </a:solidFill>
            <a:latin typeface="Trebuchet MS" panose="020B0603020202020204" pitchFamily="34" charset="0"/>
          </a:endParaRPr>
        </a:p>
      </xdr:txBody>
    </xdr:sp>
    <xdr:clientData/>
  </xdr:twoCellAnchor>
  <xdr:twoCellAnchor>
    <xdr:from>
      <xdr:col>7</xdr:col>
      <xdr:colOff>19440</xdr:colOff>
      <xdr:row>2</xdr:row>
      <xdr:rowOff>87474</xdr:rowOff>
    </xdr:from>
    <xdr:to>
      <xdr:col>8</xdr:col>
      <xdr:colOff>544286</xdr:colOff>
      <xdr:row>5</xdr:row>
      <xdr:rowOff>48597</xdr:rowOff>
    </xdr:to>
    <xdr:graphicFrame macro="">
      <xdr:nvGraphicFramePr>
        <xdr:cNvPr id="39" name="Chart 38">
          <a:extLst>
            <a:ext uri="{FF2B5EF4-FFF2-40B4-BE49-F238E27FC236}">
              <a16:creationId xmlns:a16="http://schemas.microsoft.com/office/drawing/2014/main" id="{5D509967-8877-40C2-AA7B-9C8E4D61A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116632</xdr:colOff>
      <xdr:row>2</xdr:row>
      <xdr:rowOff>29160</xdr:rowOff>
    </xdr:from>
    <xdr:to>
      <xdr:col>12</xdr:col>
      <xdr:colOff>29158</xdr:colOff>
      <xdr:row>3</xdr:row>
      <xdr:rowOff>77758</xdr:rowOff>
    </xdr:to>
    <xdr:sp macro="" textlink="Analysis!G32">
      <xdr:nvSpPr>
        <xdr:cNvPr id="40" name="TextBox 39">
          <a:extLst>
            <a:ext uri="{FF2B5EF4-FFF2-40B4-BE49-F238E27FC236}">
              <a16:creationId xmlns:a16="http://schemas.microsoft.com/office/drawing/2014/main" id="{DF3433FF-228F-1D84-07B2-206C8F5351F5}"/>
            </a:ext>
          </a:extLst>
        </xdr:cNvPr>
        <xdr:cNvSpPr txBox="1"/>
      </xdr:nvSpPr>
      <xdr:spPr>
        <a:xfrm>
          <a:off x="6852168" y="417936"/>
          <a:ext cx="524847" cy="242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F4BECF-781D-4418-B696-5D1E21D78A81}" type="TxLink">
            <a:rPr lang="en-US" sz="1200" b="1" i="0" u="none" strike="noStrike">
              <a:solidFill>
                <a:schemeClr val="bg1"/>
              </a:solidFill>
              <a:latin typeface="Calibri"/>
              <a:ea typeface="Calibri"/>
              <a:cs typeface="Calibri"/>
            </a:rPr>
            <a:t>0.19</a:t>
          </a:fld>
          <a:endParaRPr lang="en-NG" sz="1200" b="1">
            <a:solidFill>
              <a:schemeClr val="bg1"/>
            </a:solidFill>
          </a:endParaRPr>
        </a:p>
      </xdr:txBody>
    </xdr:sp>
    <xdr:clientData/>
  </xdr:twoCellAnchor>
  <xdr:twoCellAnchor>
    <xdr:from>
      <xdr:col>10</xdr:col>
      <xdr:colOff>563726</xdr:colOff>
      <xdr:row>2</xdr:row>
      <xdr:rowOff>97189</xdr:rowOff>
    </xdr:from>
    <xdr:to>
      <xdr:col>12</xdr:col>
      <xdr:colOff>136073</xdr:colOff>
      <xdr:row>5</xdr:row>
      <xdr:rowOff>9715</xdr:rowOff>
    </xdr:to>
    <xdr:graphicFrame macro="">
      <xdr:nvGraphicFramePr>
        <xdr:cNvPr id="41" name="Chart 40">
          <a:extLst>
            <a:ext uri="{FF2B5EF4-FFF2-40B4-BE49-F238E27FC236}">
              <a16:creationId xmlns:a16="http://schemas.microsoft.com/office/drawing/2014/main" id="{F64023C2-8CC6-4032-AEE9-1A266CB22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136071</xdr:colOff>
      <xdr:row>2</xdr:row>
      <xdr:rowOff>38878</xdr:rowOff>
    </xdr:from>
    <xdr:to>
      <xdr:col>16</xdr:col>
      <xdr:colOff>97193</xdr:colOff>
      <xdr:row>5</xdr:row>
      <xdr:rowOff>38878</xdr:rowOff>
    </xdr:to>
    <xdr:graphicFrame macro="">
      <xdr:nvGraphicFramePr>
        <xdr:cNvPr id="42" name="Chart 41">
          <a:extLst>
            <a:ext uri="{FF2B5EF4-FFF2-40B4-BE49-F238E27FC236}">
              <a16:creationId xmlns:a16="http://schemas.microsoft.com/office/drawing/2014/main" id="{63DAAEC1-CED6-45F3-AB5D-38BBB6F457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136072</xdr:colOff>
      <xdr:row>2</xdr:row>
      <xdr:rowOff>87473</xdr:rowOff>
    </xdr:from>
    <xdr:to>
      <xdr:col>19</xdr:col>
      <xdr:colOff>311021</xdr:colOff>
      <xdr:row>5</xdr:row>
      <xdr:rowOff>38877</xdr:rowOff>
    </xdr:to>
    <xdr:graphicFrame macro="">
      <xdr:nvGraphicFramePr>
        <xdr:cNvPr id="44" name="Chart 43">
          <a:extLst>
            <a:ext uri="{FF2B5EF4-FFF2-40B4-BE49-F238E27FC236}">
              <a16:creationId xmlns:a16="http://schemas.microsoft.com/office/drawing/2014/main" id="{4A427A48-58ED-44D0-B2EE-908573A1B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9722</xdr:colOff>
      <xdr:row>2</xdr:row>
      <xdr:rowOff>29158</xdr:rowOff>
    </xdr:from>
    <xdr:to>
      <xdr:col>8</xdr:col>
      <xdr:colOff>554009</xdr:colOff>
      <xdr:row>3</xdr:row>
      <xdr:rowOff>77756</xdr:rowOff>
    </xdr:to>
    <xdr:sp macro="" textlink="Analysis!E38">
      <xdr:nvSpPr>
        <xdr:cNvPr id="45" name="TextBox 44">
          <a:extLst>
            <a:ext uri="{FF2B5EF4-FFF2-40B4-BE49-F238E27FC236}">
              <a16:creationId xmlns:a16="http://schemas.microsoft.com/office/drawing/2014/main" id="{057A6F65-98F5-300E-C966-73D7FB2FD9EF}"/>
            </a:ext>
          </a:extLst>
        </xdr:cNvPr>
        <xdr:cNvSpPr txBox="1"/>
      </xdr:nvSpPr>
      <xdr:spPr>
        <a:xfrm>
          <a:off x="4295972" y="417934"/>
          <a:ext cx="1156608" cy="242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8FEB88-8460-44A2-AD0C-23C6827E20CD}" type="TxLink">
            <a:rPr lang="en-US" sz="1200" b="1" i="0" u="none" strike="noStrike">
              <a:solidFill>
                <a:schemeClr val="bg1"/>
              </a:solidFill>
              <a:latin typeface="Calibri"/>
              <a:ea typeface="Calibri"/>
              <a:cs typeface="Calibri"/>
            </a:rPr>
            <a:t> $26,243,129.0 </a:t>
          </a:fld>
          <a:endParaRPr lang="en-NG" sz="1100" b="1">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918495370373" backgroundQuery="1" createdVersion="8" refreshedVersion="8" minRefreshableVersion="3" recordCount="0" supportSubquery="1" supportAdvancedDrill="1" xr:uid="{DE56BD8C-0EB4-4A6D-82EC-AF5041F7ABA3}">
  <cacheSource type="external" connectionId="3"/>
  <cacheFields count="3">
    <cacheField name="[Finance].[Date (Year)].[Date (Year)]" caption="Date (Year)" numFmtId="0" hierarchy="11" level="1">
      <sharedItems count="5">
        <s v="2018"/>
        <s v="2019"/>
        <s v="2020"/>
        <s v="2021"/>
        <s v="2022"/>
      </sharedItems>
    </cacheField>
    <cacheField name="[Measures].[NetProfit]" caption="NetProfit" numFmtId="0" hierarchy="32" level="32767"/>
    <cacheField name="[Finance].[Date (Month)].[Date (Month)]" caption="Date (Month)" numFmtId="0" hierarchy="14" level="1">
      <sharedItems containsSemiMixedTypes="0" containsNonDate="0" containsString="0"/>
    </cacheField>
  </cacheFields>
  <cacheHierarchies count="41">
    <cacheHierarchy uniqueName="[Finance].[Date]" caption="Date" attribute="1" time="1" defaultMemberUniqueName="[Finance].[Date].[All]" allUniqueName="[Finance].[Date].[All]" dimensionUniqueName="[Finance]" displayFolder="" count="2" memberValueDatatype="7" unbalanced="0"/>
    <cacheHierarchy uniqueName="[Finance].[Region]" caption="Region" attribute="1" defaultMemberUniqueName="[Finance].[Region].[All]" allUniqueName="[Finance].[Region].[All]" dimensionUniqueName="[Finance]" displayFolder="" count="2" memberValueDatatype="130" unbalanced="0"/>
    <cacheHierarchy uniqueName="[Finance].[Department]" caption="Department" attribute="1" defaultMemberUniqueName="[Finance].[Department].[All]" allUniqueName="[Finance].[Department].[All]" dimensionUniqueName="[Finance]" displayFolder="" count="2" memberValueDatatype="130" unbalanced="0"/>
    <cacheHierarchy uniqueName="[Finance].[Revenue]" caption="Revenue" attribute="1" defaultMemberUniqueName="[Finance].[Revenue].[All]" allUniqueName="[Finance].[Revenue].[All]" dimensionUniqueName="[Finance]" displayFolder="" count="2" memberValueDatatype="20" unbalanced="0"/>
    <cacheHierarchy uniqueName="[Finance].[Operating_Expenses]" caption="Operating_Expenses" attribute="1" defaultMemberUniqueName="[Finance].[Operating_Expenses].[All]" allUniqueName="[Finance].[Operating_Expenses].[All]" dimensionUniqueName="[Finance]" displayFolder="" count="2" memberValueDatatype="20" unbalanced="0"/>
    <cacheHierarchy uniqueName="[Finance].[Gross_Profit]" caption="Gross_Profit" attribute="1" defaultMemberUniqueName="[Finance].[Gross_Profit].[All]" allUniqueName="[Finance].[Gross_Profit].[All]" dimensionUniqueName="[Finance]" displayFolder="" count="2" memberValueDatatype="20" unbalanced="0"/>
    <cacheHierarchy uniqueName="[Finance].[Net_Profit]" caption="Net_Profit" attribute="1" defaultMemberUniqueName="[Finance].[Net_Profit].[All]" allUniqueName="[Finance].[Net_Profit].[All]" dimensionUniqueName="[Finance]" displayFolder="" count="2" memberValueDatatype="20" unbalanced="0"/>
    <cacheHierarchy uniqueName="[Finance].[Assets]" caption="Assets" attribute="1" defaultMemberUniqueName="[Finance].[Assets].[All]" allUniqueName="[Finance].[Assets].[All]" dimensionUniqueName="[Finance]" displayFolder="" count="2" memberValueDatatype="20" unbalanced="0"/>
    <cacheHierarchy uniqueName="[Finance].[Liabilities]" caption="Liabilities" attribute="1" defaultMemberUniqueName="[Finance].[Liabilities].[All]" allUniqueName="[Finance].[Liabilities].[All]" dimensionUniqueName="[Finance]" displayFolder="" count="2" memberValueDatatype="20" unbalanced="0"/>
    <cacheHierarchy uniqueName="[Finance].[Equity]" caption="Equity" attribute="1" defaultMemberUniqueName="[Finance].[Equity].[All]" allUniqueName="[Finance].[Equity].[All]" dimensionUniqueName="[Finance]" displayFolder="" count="2" memberValueDatatype="20" unbalanced="0"/>
    <cacheHierarchy uniqueName="[Finance].[Cost Efficiency]" caption="Cost Efficiency" attribute="1" defaultMemberUniqueName="[Finance].[Cost Efficiency].[All]" allUniqueName="[Finance].[Cost Efficiency].[All]" dimensionUniqueName="[Finance]" displayFolder="" count="2" memberValueDatatype="5" unbalanced="0"/>
    <cacheHierarchy uniqueName="[Finance].[Date (Year)]" caption="Date (Year)" attribute="1" defaultMemberUniqueName="[Finance].[Date (Year)].[All]" allUniqueName="[Finance].[Date (Year)].[All]" dimensionUniqueName="[Finance]" displayFolder="" count="2" memberValueDatatype="130" unbalanced="0">
      <fieldsUsage count="2">
        <fieldUsage x="-1"/>
        <fieldUsage x="0"/>
      </fieldsUsage>
    </cacheHierarchy>
    <cacheHierarchy uniqueName="[Finance].[Operating Margin]" caption="Operating Margin" attribute="1" defaultMemberUniqueName="[Finance].[Operating Margin].[All]" allUniqueName="[Finance].[Operating Margin].[All]" dimensionUniqueName="[Finance]" displayFolder="" count="2" memberValueDatatype="5" unbalanced="0"/>
    <cacheHierarchy uniqueName="[Finance].[Date (Quarter)]" caption="Date (Quarter)" attribute="1" defaultMemberUniqueName="[Finance].[Date (Quarter)].[All]" allUniqueName="[Finance].[Date (Quarter)].[All]" dimensionUniqueName="[Finance]" displayFolder="" count="2" memberValueDatatype="130" unbalanced="0"/>
    <cacheHierarchy uniqueName="[Finance].[Date (Month)]" caption="Date (Month)" attribute="1" defaultMemberUniqueName="[Finance].[Date (Month)].[All]" allUniqueName="[Finance].[Date (Month)].[All]" dimensionUniqueName="[Finance]" displayFolder="" count="2" memberValueDatatype="130" unbalanced="0">
      <fieldsUsage count="2">
        <fieldUsage x="-1"/>
        <fieldUsage x="2"/>
      </fieldsUsage>
    </cacheHierarchy>
    <cacheHierarchy uniqueName="[Table1].[Date]" caption="Date" attribute="1" time="1" defaultMemberUniqueName="[Table1].[Date].[All]" allUniqueName="[Table1].[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Revenue]" caption="Revenue" attribute="1" defaultMemberUniqueName="[Table1].[Revenue].[All]" allUniqueName="[Table1].[Revenue].[All]" dimensionUniqueName="[Table1]" displayFolder="" count="2" memberValueDatatype="20" unbalanced="0"/>
    <cacheHierarchy uniqueName="[Table1].[Operating_Expenses]" caption="Operating_Expenses" attribute="1" defaultMemberUniqueName="[Table1].[Operating_Expenses].[All]" allUniqueName="[Table1].[Operating_Expenses].[All]" dimensionUniqueName="[Table1]" displayFolder="" count="2" memberValueDatatype="20" unbalanced="0"/>
    <cacheHierarchy uniqueName="[Table1].[Gross_Profit]" caption="Gross_Profit" attribute="1" defaultMemberUniqueName="[Table1].[Gross_Profit].[All]" allUniqueName="[Table1].[Gross_Profit].[All]" dimensionUniqueName="[Table1]" displayFolder="" count="2" memberValueDatatype="20" unbalanced="0"/>
    <cacheHierarchy uniqueName="[Table1].[Net_Profit]" caption="Net_Profit" attribute="1" defaultMemberUniqueName="[Table1].[Net_Profit].[All]" allUniqueName="[Table1].[Net_Profit].[All]" dimensionUniqueName="[Table1]" displayFolder="" count="2" memberValueDatatype="20" unbalanced="0"/>
    <cacheHierarchy uniqueName="[Table1].[Assets]" caption="Assets" attribute="1" defaultMemberUniqueName="[Table1].[Assets].[All]" allUniqueName="[Table1].[Assets].[All]" dimensionUniqueName="[Table1]" displayFolder="" count="2" memberValueDatatype="20" unbalanced="0"/>
    <cacheHierarchy uniqueName="[Table1].[Liabilities]" caption="Liabilities" attribute="1" defaultMemberUniqueName="[Table1].[Liabilities].[All]" allUniqueName="[Table1].[Liabilities].[All]" dimensionUniqueName="[Table1]" displayFolder="" count="2" memberValueDatatype="20" unbalanced="0"/>
    <cacheHierarchy uniqueName="[Table1].[Equity]" caption="Equity" attribute="1" defaultMemberUniqueName="[Table1].[Equity].[All]" allUniqueName="[Table1].[Equity].[All]" dimensionUniqueName="[Table1]" displayFolder="" count="2" memberValueDatatype="20" unbalanced="0"/>
    <cacheHierarchy uniqueName="[Finance].[Date (Month Index)]" caption="Date (Month Index)" attribute="1" defaultMemberUniqueName="[Finance].[Date (Month Index)].[All]" allUniqueName="[Finance].[Date (Month Index)].[All]" dimensionUniqueName="[Finance]" displayFolder="" count="2" memberValueDatatype="20" unbalanced="0" hidden="1"/>
    <cacheHierarchy uniqueName="[Measures].[Sum of Cost Efficiency]" caption="Sum of Cost Efficiency" measure="1" displayFolder="" measureGroup="Finance" count="0">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Finance" count="0">
      <extLst>
        <ext xmlns:x15="http://schemas.microsoft.com/office/spreadsheetml/2010/11/main" uri="{B97F6D7D-B522-45F9-BDA1-12C45D357490}">
          <x15:cacheHierarchy aggregatedColumn="12"/>
        </ext>
      </extLst>
    </cacheHierarchy>
    <cacheHierarchy uniqueName="[Measures].[Average of Operating Margin]" caption="Average of Operating Margin" measure="1" displayFolder="" measureGroup="Finance" count="0">
      <extLst>
        <ext xmlns:x15="http://schemas.microsoft.com/office/spreadsheetml/2010/11/main" uri="{B97F6D7D-B522-45F9-BDA1-12C45D357490}">
          <x15:cacheHierarchy aggregatedColumn="12"/>
        </ext>
      </extLst>
    </cacheHierarchy>
    <cacheHierarchy uniqueName="[Measures].[Sum of Operating_Expenses]" caption="Sum of Operating_Expenses" measure="1" displayFolder="" measureGroup="Finance" count="0">
      <extLst>
        <ext xmlns:x15="http://schemas.microsoft.com/office/spreadsheetml/2010/11/main" uri="{B97F6D7D-B522-45F9-BDA1-12C45D357490}">
          <x15:cacheHierarchy aggregatedColumn="4"/>
        </ext>
      </extLst>
    </cacheHierarchy>
    <cacheHierarchy uniqueName="[Measures].[Sum of Revenue]" caption="Sum of Revenue" measure="1" displayFolder="" measureGroup="Finance" count="0">
      <extLst>
        <ext xmlns:x15="http://schemas.microsoft.com/office/spreadsheetml/2010/11/main" uri="{B97F6D7D-B522-45F9-BDA1-12C45D357490}">
          <x15:cacheHierarchy aggregatedColumn="3"/>
        </ext>
      </extLst>
    </cacheHierarchy>
    <cacheHierarchy uniqueName="[Measures].[Sum of Net_Profit]" caption="Sum of Net_Profit" measure="1" displayFolder="" measureGroup="Finance" count="0">
      <extLst>
        <ext xmlns:x15="http://schemas.microsoft.com/office/spreadsheetml/2010/11/main" uri="{B97F6D7D-B522-45F9-BDA1-12C45D357490}">
          <x15:cacheHierarchy aggregatedColumn="6"/>
        </ext>
      </extLst>
    </cacheHierarchy>
    <cacheHierarchy uniqueName="[Measures].[NetProfit]" caption="NetProfit" measure="1" displayFolder="" measureGroup="Finance" count="0" oneField="1">
      <fieldsUsage count="1">
        <fieldUsage x="1"/>
      </fieldsUsage>
    </cacheHierarchy>
    <cacheHierarchy uniqueName="[Measures].[ROA]" caption="ROA" measure="1" displayFolder="" measureGroup="Finance" count="0"/>
    <cacheHierarchy uniqueName="[Measures].[ROE]" caption="ROE" measure="1" displayFolder="" measureGroup="Finance" count="0"/>
    <cacheHierarchy uniqueName="[Measures].[totalRevenue]" caption="totalRevenue" measure="1" displayFolder="" measureGroup="Finance" count="0"/>
    <cacheHierarchy uniqueName="[Measures].[TotalProfit]" caption="TotalProfit" measure="1" displayFolder="" measureGroup="Finance" count="0"/>
    <cacheHierarchy uniqueName="[Measures].[ProfitMargin]" caption="ProfitMargin" measure="1" displayFolder="" measureGroup="Finance" count="0"/>
    <cacheHierarchy uniqueName="[Measures].[__XL_Count Table1]" caption="__XL_Count Table1" measure="1" displayFolder="" measureGroup="Table1"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3">
    <dimension name="Finance" uniqueName="[Finance]" caption="Finance"/>
    <dimension measure="1" name="Measures" uniqueName="[Measures]" caption="Measures"/>
    <dimension name="Table1" uniqueName="[Table1]" caption="Table1"/>
  </dimensions>
  <measureGroups count="2">
    <measureGroup name="Finance" caption="Financ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918495949074" backgroundQuery="1" createdVersion="8" refreshedVersion="8" minRefreshableVersion="3" recordCount="0" supportSubquery="1" supportAdvancedDrill="1" xr:uid="{788BF0DF-FC62-44DD-9569-FA21402AFF7F}">
  <cacheSource type="external" connectionId="3"/>
  <cacheFields count="3">
    <cacheField name="[Finance].[Department].[Department]" caption="Department" numFmtId="0" hierarchy="2" level="1">
      <sharedItems count="4">
        <s v="Admin"/>
        <s v="Marketing"/>
        <s v="R&amp;D"/>
        <s v="Sales"/>
      </sharedItems>
    </cacheField>
    <cacheField name="[Measures].[Sum of Cost Efficiency]" caption="Sum of Cost Efficiency" numFmtId="0" hierarchy="26" level="32767"/>
    <cacheField name="[Finance].[Date (Month)].[Date (Month)]" caption="Date (Month)" numFmtId="0" hierarchy="14" level="1">
      <sharedItems containsSemiMixedTypes="0" containsNonDate="0" containsString="0"/>
    </cacheField>
  </cacheFields>
  <cacheHierarchies count="41">
    <cacheHierarchy uniqueName="[Finance].[Date]" caption="Date" attribute="1" time="1" defaultMemberUniqueName="[Finance].[Date].[All]" allUniqueName="[Finance].[Date].[All]" dimensionUniqueName="[Finance]" displayFolder="" count="0" memberValueDatatype="7" unbalanced="0"/>
    <cacheHierarchy uniqueName="[Finance].[Region]" caption="Region" attribute="1" defaultMemberUniqueName="[Finance].[Region].[All]" allUniqueName="[Finance].[Region].[All]" dimensionUniqueName="[Finance]" displayFolder="" count="0" memberValueDatatype="130" unbalanced="0"/>
    <cacheHierarchy uniqueName="[Finance].[Department]" caption="Department" attribute="1" defaultMemberUniqueName="[Finance].[Department].[All]" allUniqueName="[Finance].[Department].[All]" dimensionUniqueName="[Finance]" displayFolder="" count="2" memberValueDatatype="130" unbalanced="0">
      <fieldsUsage count="2">
        <fieldUsage x="-1"/>
        <fieldUsage x="0"/>
      </fieldsUsage>
    </cacheHierarchy>
    <cacheHierarchy uniqueName="[Finance].[Revenue]" caption="Revenue" attribute="1" defaultMemberUniqueName="[Finance].[Revenue].[All]" allUniqueName="[Finance].[Revenue].[All]" dimensionUniqueName="[Finance]" displayFolder="" count="0" memberValueDatatype="20" unbalanced="0"/>
    <cacheHierarchy uniqueName="[Finance].[Operating_Expenses]" caption="Operating_Expenses" attribute="1" defaultMemberUniqueName="[Finance].[Operating_Expenses].[All]" allUniqueName="[Finance].[Operating_Expenses].[All]" dimensionUniqueName="[Finance]" displayFolder="" count="0" memberValueDatatype="20" unbalanced="0"/>
    <cacheHierarchy uniqueName="[Finance].[Gross_Profit]" caption="Gross_Profit" attribute="1" defaultMemberUniqueName="[Finance].[Gross_Profit].[All]" allUniqueName="[Finance].[Gross_Profit].[All]" dimensionUniqueName="[Finance]" displayFolder="" count="0" memberValueDatatype="20" unbalanced="0"/>
    <cacheHierarchy uniqueName="[Finance].[Net_Profit]" caption="Net_Profit" attribute="1" defaultMemberUniqueName="[Finance].[Net_Profit].[All]" allUniqueName="[Finance].[Net_Profit].[All]" dimensionUniqueName="[Finance]" displayFolder="" count="0" memberValueDatatype="20" unbalanced="0"/>
    <cacheHierarchy uniqueName="[Finance].[Assets]" caption="Assets" attribute="1" defaultMemberUniqueName="[Finance].[Assets].[All]" allUniqueName="[Finance].[Assets].[All]" dimensionUniqueName="[Finance]" displayFolder="" count="0" memberValueDatatype="20" unbalanced="0"/>
    <cacheHierarchy uniqueName="[Finance].[Liabilities]" caption="Liabilities" attribute="1" defaultMemberUniqueName="[Finance].[Liabilities].[All]" allUniqueName="[Finance].[Liabilities].[All]" dimensionUniqueName="[Finance]" displayFolder="" count="0" memberValueDatatype="20" unbalanced="0"/>
    <cacheHierarchy uniqueName="[Finance].[Equity]" caption="Equity" attribute="1" defaultMemberUniqueName="[Finance].[Equity].[All]" allUniqueName="[Finance].[Equity].[All]" dimensionUniqueName="[Finance]" displayFolder="" count="0" memberValueDatatype="20" unbalanced="0"/>
    <cacheHierarchy uniqueName="[Finance].[Cost Efficiency]" caption="Cost Efficiency" attribute="1" defaultMemberUniqueName="[Finance].[Cost Efficiency].[All]" allUniqueName="[Finance].[Cost Efficiency].[All]" dimensionUniqueName="[Finance]" displayFolder="" count="0" memberValueDatatype="5" unbalanced="0"/>
    <cacheHierarchy uniqueName="[Finance].[Date (Year)]" caption="Date (Year)" attribute="1" defaultMemberUniqueName="[Finance].[Date (Year)].[All]" allUniqueName="[Finance].[Date (Year)].[All]" dimensionUniqueName="[Finance]" displayFolder="" count="0" memberValueDatatype="130" unbalanced="0"/>
    <cacheHierarchy uniqueName="[Finance].[Operating Margin]" caption="Operating Margin" attribute="1" defaultMemberUniqueName="[Finance].[Operating Margin].[All]" allUniqueName="[Finance].[Operating Margin].[All]" dimensionUniqueName="[Finance]" displayFolder="" count="0" memberValueDatatype="5" unbalanced="0"/>
    <cacheHierarchy uniqueName="[Finance].[Date (Quarter)]" caption="Date (Quarter)" attribute="1" defaultMemberUniqueName="[Finance].[Date (Quarter)].[All]" allUniqueName="[Finance].[Date (Quarter)].[All]" dimensionUniqueName="[Finance]" displayFolder="" count="0" memberValueDatatype="130" unbalanced="0"/>
    <cacheHierarchy uniqueName="[Finance].[Date (Month)]" caption="Date (Month)" attribute="1" defaultMemberUniqueName="[Finance].[Date (Month)].[All]" allUniqueName="[Finance].[Date (Month)].[All]" dimensionUniqueName="[Finance]" displayFolder="" count="2" memberValueDatatype="130" unbalanced="0">
      <fieldsUsage count="2">
        <fieldUsage x="-1"/>
        <fieldUsage x="2"/>
      </fieldsUsage>
    </cacheHierarchy>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Operating_Expenses]" caption="Operating_Expenses" attribute="1" defaultMemberUniqueName="[Table1].[Operating_Expenses].[All]" allUniqueName="[Table1].[Operating_Expenses].[All]" dimensionUniqueName="[Table1]" displayFolder="" count="0" memberValueDatatype="20" unbalanced="0"/>
    <cacheHierarchy uniqueName="[Table1].[Gross_Profit]" caption="Gross_Profit" attribute="1" defaultMemberUniqueName="[Table1].[Gross_Profit].[All]" allUniqueName="[Table1].[Gross_Profit].[All]" dimensionUniqueName="[Table1]" displayFolder="" count="0" memberValueDatatype="20" unbalanced="0"/>
    <cacheHierarchy uniqueName="[Table1].[Net_Profit]" caption="Net_Profit" attribute="1" defaultMemberUniqueName="[Table1].[Net_Profit].[All]" allUniqueName="[Table1].[Net_Profit].[All]" dimensionUniqueName="[Table1]" displayFolder="" count="0" memberValueDatatype="20" unbalanced="0"/>
    <cacheHierarchy uniqueName="[Table1].[Assets]" caption="Assets" attribute="1" defaultMemberUniqueName="[Table1].[Assets].[All]" allUniqueName="[Table1].[Assets].[All]" dimensionUniqueName="[Table1]" displayFolder="" count="0" memberValueDatatype="20" unbalanced="0"/>
    <cacheHierarchy uniqueName="[Table1].[Liabilities]" caption="Liabilities" attribute="1" defaultMemberUniqueName="[Table1].[Liabilities].[All]" allUniqueName="[Table1].[Liabilities].[All]" dimensionUniqueName="[Table1]" displayFolder="" count="0" memberValueDatatype="20" unbalanced="0"/>
    <cacheHierarchy uniqueName="[Table1].[Equity]" caption="Equity" attribute="1" defaultMemberUniqueName="[Table1].[Equity].[All]" allUniqueName="[Table1].[Equity].[All]" dimensionUniqueName="[Table1]" displayFolder="" count="0" memberValueDatatype="20" unbalanced="0"/>
    <cacheHierarchy uniqueName="[Finance].[Date (Month Index)]" caption="Date (Month Index)" attribute="1" defaultMemberUniqueName="[Finance].[Date (Month Index)].[All]" allUniqueName="[Finance].[Date (Month Index)].[All]" dimensionUniqueName="[Finance]" displayFolder="" count="0" memberValueDatatype="20" unbalanced="0" hidden="1"/>
    <cacheHierarchy uniqueName="[Measures].[Sum of Cost Efficiency]" caption="Sum of Cost Efficiency" measure="1" displayFolder="" measureGroup="Finance" count="0" oneField="1">
      <fieldsUsage count="1">
        <fieldUsage x="1"/>
      </fieldsUsage>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Finance" count="0">
      <extLst>
        <ext xmlns:x15="http://schemas.microsoft.com/office/spreadsheetml/2010/11/main" uri="{B97F6D7D-B522-45F9-BDA1-12C45D357490}">
          <x15:cacheHierarchy aggregatedColumn="12"/>
        </ext>
      </extLst>
    </cacheHierarchy>
    <cacheHierarchy uniqueName="[Measures].[Average of Operating Margin]" caption="Average of Operating Margin" measure="1" displayFolder="" measureGroup="Finance" count="0">
      <extLst>
        <ext xmlns:x15="http://schemas.microsoft.com/office/spreadsheetml/2010/11/main" uri="{B97F6D7D-B522-45F9-BDA1-12C45D357490}">
          <x15:cacheHierarchy aggregatedColumn="12"/>
        </ext>
      </extLst>
    </cacheHierarchy>
    <cacheHierarchy uniqueName="[Measures].[Sum of Operating_Expenses]" caption="Sum of Operating_Expenses" measure="1" displayFolder="" measureGroup="Finance" count="0">
      <extLst>
        <ext xmlns:x15="http://schemas.microsoft.com/office/spreadsheetml/2010/11/main" uri="{B97F6D7D-B522-45F9-BDA1-12C45D357490}">
          <x15:cacheHierarchy aggregatedColumn="4"/>
        </ext>
      </extLst>
    </cacheHierarchy>
    <cacheHierarchy uniqueName="[Measures].[Sum of Revenue]" caption="Sum of Revenue" measure="1" displayFolder="" measureGroup="Finance" count="0">
      <extLst>
        <ext xmlns:x15="http://schemas.microsoft.com/office/spreadsheetml/2010/11/main" uri="{B97F6D7D-B522-45F9-BDA1-12C45D357490}">
          <x15:cacheHierarchy aggregatedColumn="3"/>
        </ext>
      </extLst>
    </cacheHierarchy>
    <cacheHierarchy uniqueName="[Measures].[Sum of Net_Profit]" caption="Sum of Net_Profit" measure="1" displayFolder="" measureGroup="Finance" count="0">
      <extLst>
        <ext xmlns:x15="http://schemas.microsoft.com/office/spreadsheetml/2010/11/main" uri="{B97F6D7D-B522-45F9-BDA1-12C45D357490}">
          <x15:cacheHierarchy aggregatedColumn="6"/>
        </ext>
      </extLst>
    </cacheHierarchy>
    <cacheHierarchy uniqueName="[Measures].[NetProfit]" caption="NetProfit" measure="1" displayFolder="" measureGroup="Finance" count="0"/>
    <cacheHierarchy uniqueName="[Measures].[ROA]" caption="ROA" measure="1" displayFolder="" measureGroup="Finance" count="0"/>
    <cacheHierarchy uniqueName="[Measures].[ROE]" caption="ROE" measure="1" displayFolder="" measureGroup="Finance" count="0"/>
    <cacheHierarchy uniqueName="[Measures].[totalRevenue]" caption="totalRevenue" measure="1" displayFolder="" measureGroup="Finance" count="0"/>
    <cacheHierarchy uniqueName="[Measures].[TotalProfit]" caption="TotalProfit" measure="1" displayFolder="" measureGroup="Finance" count="0"/>
    <cacheHierarchy uniqueName="[Measures].[ProfitMargin]" caption="ProfitMargin" measure="1" displayFolder="" measureGroup="Finance" count="0"/>
    <cacheHierarchy uniqueName="[Measures].[__XL_Count Table1]" caption="__XL_Count Table1" measure="1" displayFolder="" measureGroup="Table1"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3">
    <dimension name="Finance" uniqueName="[Finance]" caption="Finance"/>
    <dimension measure="1" name="Measures" uniqueName="[Measures]" caption="Measures"/>
    <dimension name="Table1" uniqueName="[Table1]" caption="Table1"/>
  </dimensions>
  <measureGroups count="2">
    <measureGroup name="Finance" caption="Financ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918496412036" backgroundQuery="1" createdVersion="8" refreshedVersion="8" minRefreshableVersion="3" recordCount="0" supportSubquery="1" supportAdvancedDrill="1" xr:uid="{751253E3-3239-46F3-BD3B-A17F20F982AF}">
  <cacheSource type="external" connectionId="3"/>
  <cacheFields count="3">
    <cacheField name="[Measures].[Sum of Cost Efficiency]" caption="Sum of Cost Efficiency" numFmtId="0" hierarchy="26" level="32767"/>
    <cacheField name="[Finance].[Region].[Region]" caption="Region" numFmtId="0" hierarchy="1" level="1">
      <sharedItems count="4">
        <s v="East"/>
        <s v="North"/>
        <s v="South"/>
        <s v="West"/>
      </sharedItems>
    </cacheField>
    <cacheField name="[Finance].[Date (Month)].[Date (Month)]" caption="Date (Month)" numFmtId="0" hierarchy="14" level="1">
      <sharedItems containsSemiMixedTypes="0" containsNonDate="0" containsString="0"/>
    </cacheField>
  </cacheFields>
  <cacheHierarchies count="41">
    <cacheHierarchy uniqueName="[Finance].[Date]" caption="Date" attribute="1" time="1" defaultMemberUniqueName="[Finance].[Date].[All]" allUniqueName="[Finance].[Date].[All]" dimensionUniqueName="[Finance]" displayFolder="" count="0" memberValueDatatype="7" unbalanced="0"/>
    <cacheHierarchy uniqueName="[Finance].[Region]" caption="Region" attribute="1" defaultMemberUniqueName="[Finance].[Region].[All]" allUniqueName="[Finance].[Region].[All]" dimensionUniqueName="[Finance]" displayFolder="" count="2" memberValueDatatype="130" unbalanced="0">
      <fieldsUsage count="2">
        <fieldUsage x="-1"/>
        <fieldUsage x="1"/>
      </fieldsUsage>
    </cacheHierarchy>
    <cacheHierarchy uniqueName="[Finance].[Department]" caption="Department" attribute="1" defaultMemberUniqueName="[Finance].[Department].[All]" allUniqueName="[Finance].[Department].[All]" dimensionUniqueName="[Finance]" displayFolder="" count="0" memberValueDatatype="130" unbalanced="0"/>
    <cacheHierarchy uniqueName="[Finance].[Revenue]" caption="Revenue" attribute="1" defaultMemberUniqueName="[Finance].[Revenue].[All]" allUniqueName="[Finance].[Revenue].[All]" dimensionUniqueName="[Finance]" displayFolder="" count="0" memberValueDatatype="20" unbalanced="0"/>
    <cacheHierarchy uniqueName="[Finance].[Operating_Expenses]" caption="Operating_Expenses" attribute="1" defaultMemberUniqueName="[Finance].[Operating_Expenses].[All]" allUniqueName="[Finance].[Operating_Expenses].[All]" dimensionUniqueName="[Finance]" displayFolder="" count="0" memberValueDatatype="20" unbalanced="0"/>
    <cacheHierarchy uniqueName="[Finance].[Gross_Profit]" caption="Gross_Profit" attribute="1" defaultMemberUniqueName="[Finance].[Gross_Profit].[All]" allUniqueName="[Finance].[Gross_Profit].[All]" dimensionUniqueName="[Finance]" displayFolder="" count="0" memberValueDatatype="20" unbalanced="0"/>
    <cacheHierarchy uniqueName="[Finance].[Net_Profit]" caption="Net_Profit" attribute="1" defaultMemberUniqueName="[Finance].[Net_Profit].[All]" allUniqueName="[Finance].[Net_Profit].[All]" dimensionUniqueName="[Finance]" displayFolder="" count="0" memberValueDatatype="20" unbalanced="0"/>
    <cacheHierarchy uniqueName="[Finance].[Assets]" caption="Assets" attribute="1" defaultMemberUniqueName="[Finance].[Assets].[All]" allUniqueName="[Finance].[Assets].[All]" dimensionUniqueName="[Finance]" displayFolder="" count="0" memberValueDatatype="20" unbalanced="0"/>
    <cacheHierarchy uniqueName="[Finance].[Liabilities]" caption="Liabilities" attribute="1" defaultMemberUniqueName="[Finance].[Liabilities].[All]" allUniqueName="[Finance].[Liabilities].[All]" dimensionUniqueName="[Finance]" displayFolder="" count="0" memberValueDatatype="20" unbalanced="0"/>
    <cacheHierarchy uniqueName="[Finance].[Equity]" caption="Equity" attribute="1" defaultMemberUniqueName="[Finance].[Equity].[All]" allUniqueName="[Finance].[Equity].[All]" dimensionUniqueName="[Finance]" displayFolder="" count="0" memberValueDatatype="20" unbalanced="0"/>
    <cacheHierarchy uniqueName="[Finance].[Cost Efficiency]" caption="Cost Efficiency" attribute="1" defaultMemberUniqueName="[Finance].[Cost Efficiency].[All]" allUniqueName="[Finance].[Cost Efficiency].[All]" dimensionUniqueName="[Finance]" displayFolder="" count="0" memberValueDatatype="5" unbalanced="0"/>
    <cacheHierarchy uniqueName="[Finance].[Date (Year)]" caption="Date (Year)" attribute="1" defaultMemberUniqueName="[Finance].[Date (Year)].[All]" allUniqueName="[Finance].[Date (Year)].[All]" dimensionUniqueName="[Finance]" displayFolder="" count="0" memberValueDatatype="130" unbalanced="0"/>
    <cacheHierarchy uniqueName="[Finance].[Operating Margin]" caption="Operating Margin" attribute="1" defaultMemberUniqueName="[Finance].[Operating Margin].[All]" allUniqueName="[Finance].[Operating Margin].[All]" dimensionUniqueName="[Finance]" displayFolder="" count="0" memberValueDatatype="5" unbalanced="0"/>
    <cacheHierarchy uniqueName="[Finance].[Date (Quarter)]" caption="Date (Quarter)" attribute="1" defaultMemberUniqueName="[Finance].[Date (Quarter)].[All]" allUniqueName="[Finance].[Date (Quarter)].[All]" dimensionUniqueName="[Finance]" displayFolder="" count="0" memberValueDatatype="130" unbalanced="0"/>
    <cacheHierarchy uniqueName="[Finance].[Date (Month)]" caption="Date (Month)" attribute="1" defaultMemberUniqueName="[Finance].[Date (Month)].[All]" allUniqueName="[Finance].[Date (Month)].[All]" dimensionUniqueName="[Finance]" displayFolder="" count="2" memberValueDatatype="130" unbalanced="0">
      <fieldsUsage count="2">
        <fieldUsage x="-1"/>
        <fieldUsage x="2"/>
      </fieldsUsage>
    </cacheHierarchy>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Operating_Expenses]" caption="Operating_Expenses" attribute="1" defaultMemberUniqueName="[Table1].[Operating_Expenses].[All]" allUniqueName="[Table1].[Operating_Expenses].[All]" dimensionUniqueName="[Table1]" displayFolder="" count="0" memberValueDatatype="20" unbalanced="0"/>
    <cacheHierarchy uniqueName="[Table1].[Gross_Profit]" caption="Gross_Profit" attribute="1" defaultMemberUniqueName="[Table1].[Gross_Profit].[All]" allUniqueName="[Table1].[Gross_Profit].[All]" dimensionUniqueName="[Table1]" displayFolder="" count="0" memberValueDatatype="20" unbalanced="0"/>
    <cacheHierarchy uniqueName="[Table1].[Net_Profit]" caption="Net_Profit" attribute="1" defaultMemberUniqueName="[Table1].[Net_Profit].[All]" allUniqueName="[Table1].[Net_Profit].[All]" dimensionUniqueName="[Table1]" displayFolder="" count="0" memberValueDatatype="20" unbalanced="0"/>
    <cacheHierarchy uniqueName="[Table1].[Assets]" caption="Assets" attribute="1" defaultMemberUniqueName="[Table1].[Assets].[All]" allUniqueName="[Table1].[Assets].[All]" dimensionUniqueName="[Table1]" displayFolder="" count="0" memberValueDatatype="20" unbalanced="0"/>
    <cacheHierarchy uniqueName="[Table1].[Liabilities]" caption="Liabilities" attribute="1" defaultMemberUniqueName="[Table1].[Liabilities].[All]" allUniqueName="[Table1].[Liabilities].[All]" dimensionUniqueName="[Table1]" displayFolder="" count="0" memberValueDatatype="20" unbalanced="0"/>
    <cacheHierarchy uniqueName="[Table1].[Equity]" caption="Equity" attribute="1" defaultMemberUniqueName="[Table1].[Equity].[All]" allUniqueName="[Table1].[Equity].[All]" dimensionUniqueName="[Table1]" displayFolder="" count="0" memberValueDatatype="20" unbalanced="0"/>
    <cacheHierarchy uniqueName="[Finance].[Date (Month Index)]" caption="Date (Month Index)" attribute="1" defaultMemberUniqueName="[Finance].[Date (Month Index)].[All]" allUniqueName="[Finance].[Date (Month Index)].[All]" dimensionUniqueName="[Finance]" displayFolder="" count="0" memberValueDatatype="20" unbalanced="0" hidden="1"/>
    <cacheHierarchy uniqueName="[Measures].[Sum of Cost Efficiency]" caption="Sum of Cost Efficiency" measure="1" displayFolder="" measureGroup="Finance" count="0" oneField="1">
      <fieldsUsage count="1">
        <fieldUsage x="0"/>
      </fieldsUsage>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Finance" count="0">
      <extLst>
        <ext xmlns:x15="http://schemas.microsoft.com/office/spreadsheetml/2010/11/main" uri="{B97F6D7D-B522-45F9-BDA1-12C45D357490}">
          <x15:cacheHierarchy aggregatedColumn="12"/>
        </ext>
      </extLst>
    </cacheHierarchy>
    <cacheHierarchy uniqueName="[Measures].[Average of Operating Margin]" caption="Average of Operating Margin" measure="1" displayFolder="" measureGroup="Finance" count="0">
      <extLst>
        <ext xmlns:x15="http://schemas.microsoft.com/office/spreadsheetml/2010/11/main" uri="{B97F6D7D-B522-45F9-BDA1-12C45D357490}">
          <x15:cacheHierarchy aggregatedColumn="12"/>
        </ext>
      </extLst>
    </cacheHierarchy>
    <cacheHierarchy uniqueName="[Measures].[Sum of Operating_Expenses]" caption="Sum of Operating_Expenses" measure="1" displayFolder="" measureGroup="Finance" count="0">
      <extLst>
        <ext xmlns:x15="http://schemas.microsoft.com/office/spreadsheetml/2010/11/main" uri="{B97F6D7D-B522-45F9-BDA1-12C45D357490}">
          <x15:cacheHierarchy aggregatedColumn="4"/>
        </ext>
      </extLst>
    </cacheHierarchy>
    <cacheHierarchy uniqueName="[Measures].[Sum of Revenue]" caption="Sum of Revenue" measure="1" displayFolder="" measureGroup="Finance" count="0">
      <extLst>
        <ext xmlns:x15="http://schemas.microsoft.com/office/spreadsheetml/2010/11/main" uri="{B97F6D7D-B522-45F9-BDA1-12C45D357490}">
          <x15:cacheHierarchy aggregatedColumn="3"/>
        </ext>
      </extLst>
    </cacheHierarchy>
    <cacheHierarchy uniqueName="[Measures].[Sum of Net_Profit]" caption="Sum of Net_Profit" measure="1" displayFolder="" measureGroup="Finance" count="0">
      <extLst>
        <ext xmlns:x15="http://schemas.microsoft.com/office/spreadsheetml/2010/11/main" uri="{B97F6D7D-B522-45F9-BDA1-12C45D357490}">
          <x15:cacheHierarchy aggregatedColumn="6"/>
        </ext>
      </extLst>
    </cacheHierarchy>
    <cacheHierarchy uniqueName="[Measures].[NetProfit]" caption="NetProfit" measure="1" displayFolder="" measureGroup="Finance" count="0"/>
    <cacheHierarchy uniqueName="[Measures].[ROA]" caption="ROA" measure="1" displayFolder="" measureGroup="Finance" count="0"/>
    <cacheHierarchy uniqueName="[Measures].[ROE]" caption="ROE" measure="1" displayFolder="" measureGroup="Finance" count="0"/>
    <cacheHierarchy uniqueName="[Measures].[totalRevenue]" caption="totalRevenue" measure="1" displayFolder="" measureGroup="Finance" count="0"/>
    <cacheHierarchy uniqueName="[Measures].[TotalProfit]" caption="TotalProfit" measure="1" displayFolder="" measureGroup="Finance" count="0"/>
    <cacheHierarchy uniqueName="[Measures].[ProfitMargin]" caption="ProfitMargin" measure="1" displayFolder="" measureGroup="Finance" count="0"/>
    <cacheHierarchy uniqueName="[Measures].[__XL_Count Table1]" caption="__XL_Count Table1" measure="1" displayFolder="" measureGroup="Table1"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3">
    <dimension name="Finance" uniqueName="[Finance]" caption="Finance"/>
    <dimension measure="1" name="Measures" uniqueName="[Measures]" caption="Measures"/>
    <dimension name="Table1" uniqueName="[Table1]" caption="Table1"/>
  </dimensions>
  <measureGroups count="2">
    <measureGroup name="Finance" caption="Financ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918496990744" backgroundQuery="1" createdVersion="8" refreshedVersion="8" minRefreshableVersion="3" recordCount="0" supportSubquery="1" supportAdvancedDrill="1" xr:uid="{45780FC0-5AB8-4C6B-8712-8840E7104834}">
  <cacheSource type="external" connectionId="3"/>
  <cacheFields count="3">
    <cacheField name="[Finance].[Date (Year)].[Date (Year)]" caption="Date (Year)" numFmtId="0" hierarchy="11" level="1">
      <sharedItems count="5">
        <s v="2018"/>
        <s v="2019"/>
        <s v="2020"/>
        <s v="2021"/>
        <s v="2022"/>
      </sharedItems>
    </cacheField>
    <cacheField name="[Measures].[Average of Operating Margin]" caption="Average of Operating Margin" numFmtId="0" hierarchy="28" level="32767"/>
    <cacheField name="[Finance].[Date (Month)].[Date (Month)]" caption="Date (Month)" numFmtId="0" hierarchy="14" level="1">
      <sharedItems containsSemiMixedTypes="0" containsNonDate="0" containsString="0"/>
    </cacheField>
  </cacheFields>
  <cacheHierarchies count="41">
    <cacheHierarchy uniqueName="[Finance].[Date]" caption="Date" attribute="1" time="1" defaultMemberUniqueName="[Finance].[Date].[All]" allUniqueName="[Finance].[Date].[All]" dimensionUniqueName="[Finance]" displayFolder="" count="0" memberValueDatatype="7" unbalanced="0"/>
    <cacheHierarchy uniqueName="[Finance].[Region]" caption="Region" attribute="1" defaultMemberUniqueName="[Finance].[Region].[All]" allUniqueName="[Finance].[Region].[All]" dimensionUniqueName="[Finance]" displayFolder="" count="0" memberValueDatatype="130" unbalanced="0"/>
    <cacheHierarchy uniqueName="[Finance].[Department]" caption="Department" attribute="1" defaultMemberUniqueName="[Finance].[Department].[All]" allUniqueName="[Finance].[Department].[All]" dimensionUniqueName="[Finance]" displayFolder="" count="0" memberValueDatatype="130" unbalanced="0"/>
    <cacheHierarchy uniqueName="[Finance].[Revenue]" caption="Revenue" attribute="1" defaultMemberUniqueName="[Finance].[Revenue].[All]" allUniqueName="[Finance].[Revenue].[All]" dimensionUniqueName="[Finance]" displayFolder="" count="0" memberValueDatatype="20" unbalanced="0"/>
    <cacheHierarchy uniqueName="[Finance].[Operating_Expenses]" caption="Operating_Expenses" attribute="1" defaultMemberUniqueName="[Finance].[Operating_Expenses].[All]" allUniqueName="[Finance].[Operating_Expenses].[All]" dimensionUniqueName="[Finance]" displayFolder="" count="0" memberValueDatatype="20" unbalanced="0"/>
    <cacheHierarchy uniqueName="[Finance].[Gross_Profit]" caption="Gross_Profit" attribute="1" defaultMemberUniqueName="[Finance].[Gross_Profit].[All]" allUniqueName="[Finance].[Gross_Profit].[All]" dimensionUniqueName="[Finance]" displayFolder="" count="0" memberValueDatatype="20" unbalanced="0"/>
    <cacheHierarchy uniqueName="[Finance].[Net_Profit]" caption="Net_Profit" attribute="1" defaultMemberUniqueName="[Finance].[Net_Profit].[All]" allUniqueName="[Finance].[Net_Profit].[All]" dimensionUniqueName="[Finance]" displayFolder="" count="0" memberValueDatatype="20" unbalanced="0"/>
    <cacheHierarchy uniqueName="[Finance].[Assets]" caption="Assets" attribute="1" defaultMemberUniqueName="[Finance].[Assets].[All]" allUniqueName="[Finance].[Assets].[All]" dimensionUniqueName="[Finance]" displayFolder="" count="0" memberValueDatatype="20" unbalanced="0"/>
    <cacheHierarchy uniqueName="[Finance].[Liabilities]" caption="Liabilities" attribute="1" defaultMemberUniqueName="[Finance].[Liabilities].[All]" allUniqueName="[Finance].[Liabilities].[All]" dimensionUniqueName="[Finance]" displayFolder="" count="0" memberValueDatatype="20" unbalanced="0"/>
    <cacheHierarchy uniqueName="[Finance].[Equity]" caption="Equity" attribute="1" defaultMemberUniqueName="[Finance].[Equity].[All]" allUniqueName="[Finance].[Equity].[All]" dimensionUniqueName="[Finance]" displayFolder="" count="0" memberValueDatatype="20" unbalanced="0"/>
    <cacheHierarchy uniqueName="[Finance].[Cost Efficiency]" caption="Cost Efficiency" attribute="1" defaultMemberUniqueName="[Finance].[Cost Efficiency].[All]" allUniqueName="[Finance].[Cost Efficiency].[All]" dimensionUniqueName="[Finance]" displayFolder="" count="0" memberValueDatatype="5" unbalanced="0"/>
    <cacheHierarchy uniqueName="[Finance].[Date (Year)]" caption="Date (Year)" attribute="1" defaultMemberUniqueName="[Finance].[Date (Year)].[All]" allUniqueName="[Finance].[Date (Year)].[All]" dimensionUniqueName="[Finance]" displayFolder="" count="2" memberValueDatatype="130" unbalanced="0">
      <fieldsUsage count="2">
        <fieldUsage x="-1"/>
        <fieldUsage x="0"/>
      </fieldsUsage>
    </cacheHierarchy>
    <cacheHierarchy uniqueName="[Finance].[Operating Margin]" caption="Operating Margin" attribute="1" defaultMemberUniqueName="[Finance].[Operating Margin].[All]" allUniqueName="[Finance].[Operating Margin].[All]" dimensionUniqueName="[Finance]" displayFolder="" count="0" memberValueDatatype="5" unbalanced="0"/>
    <cacheHierarchy uniqueName="[Finance].[Date (Quarter)]" caption="Date (Quarter)" attribute="1" defaultMemberUniqueName="[Finance].[Date (Quarter)].[All]" allUniqueName="[Finance].[Date (Quarter)].[All]" dimensionUniqueName="[Finance]" displayFolder="" count="0" memberValueDatatype="130" unbalanced="0"/>
    <cacheHierarchy uniqueName="[Finance].[Date (Month)]" caption="Date (Month)" attribute="1" defaultMemberUniqueName="[Finance].[Date (Month)].[All]" allUniqueName="[Finance].[Date (Month)].[All]" dimensionUniqueName="[Finance]" displayFolder="" count="2" memberValueDatatype="130" unbalanced="0">
      <fieldsUsage count="2">
        <fieldUsage x="-1"/>
        <fieldUsage x="2"/>
      </fieldsUsage>
    </cacheHierarchy>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Operating_Expenses]" caption="Operating_Expenses" attribute="1" defaultMemberUniqueName="[Table1].[Operating_Expenses].[All]" allUniqueName="[Table1].[Operating_Expenses].[All]" dimensionUniqueName="[Table1]" displayFolder="" count="0" memberValueDatatype="20" unbalanced="0"/>
    <cacheHierarchy uniqueName="[Table1].[Gross_Profit]" caption="Gross_Profit" attribute="1" defaultMemberUniqueName="[Table1].[Gross_Profit].[All]" allUniqueName="[Table1].[Gross_Profit].[All]" dimensionUniqueName="[Table1]" displayFolder="" count="0" memberValueDatatype="20" unbalanced="0"/>
    <cacheHierarchy uniqueName="[Table1].[Net_Profit]" caption="Net_Profit" attribute="1" defaultMemberUniqueName="[Table1].[Net_Profit].[All]" allUniqueName="[Table1].[Net_Profit].[All]" dimensionUniqueName="[Table1]" displayFolder="" count="0" memberValueDatatype="20" unbalanced="0"/>
    <cacheHierarchy uniqueName="[Table1].[Assets]" caption="Assets" attribute="1" defaultMemberUniqueName="[Table1].[Assets].[All]" allUniqueName="[Table1].[Assets].[All]" dimensionUniqueName="[Table1]" displayFolder="" count="0" memberValueDatatype="20" unbalanced="0"/>
    <cacheHierarchy uniqueName="[Table1].[Liabilities]" caption="Liabilities" attribute="1" defaultMemberUniqueName="[Table1].[Liabilities].[All]" allUniqueName="[Table1].[Liabilities].[All]" dimensionUniqueName="[Table1]" displayFolder="" count="0" memberValueDatatype="20" unbalanced="0"/>
    <cacheHierarchy uniqueName="[Table1].[Equity]" caption="Equity" attribute="1" defaultMemberUniqueName="[Table1].[Equity].[All]" allUniqueName="[Table1].[Equity].[All]" dimensionUniqueName="[Table1]" displayFolder="" count="0" memberValueDatatype="20" unbalanced="0"/>
    <cacheHierarchy uniqueName="[Finance].[Date (Month Index)]" caption="Date (Month Index)" attribute="1" defaultMemberUniqueName="[Finance].[Date (Month Index)].[All]" allUniqueName="[Finance].[Date (Month Index)].[All]" dimensionUniqueName="[Finance]" displayFolder="" count="0" memberValueDatatype="20" unbalanced="0" hidden="1"/>
    <cacheHierarchy uniqueName="[Measures].[Sum of Cost Efficiency]" caption="Sum of Cost Efficiency" measure="1" displayFolder="" measureGroup="Finance" count="0">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Finance" count="0">
      <extLst>
        <ext xmlns:x15="http://schemas.microsoft.com/office/spreadsheetml/2010/11/main" uri="{B97F6D7D-B522-45F9-BDA1-12C45D357490}">
          <x15:cacheHierarchy aggregatedColumn="12"/>
        </ext>
      </extLst>
    </cacheHierarchy>
    <cacheHierarchy uniqueName="[Measures].[Average of Operating Margin]" caption="Average of Operating Margin" measure="1" displayFolder="" measureGroup="Finance" count="0" oneField="1">
      <fieldsUsage count="1">
        <fieldUsage x="1"/>
      </fieldsUsage>
      <extLst>
        <ext xmlns:x15="http://schemas.microsoft.com/office/spreadsheetml/2010/11/main" uri="{B97F6D7D-B522-45F9-BDA1-12C45D357490}">
          <x15:cacheHierarchy aggregatedColumn="12"/>
        </ext>
      </extLst>
    </cacheHierarchy>
    <cacheHierarchy uniqueName="[Measures].[Sum of Operating_Expenses]" caption="Sum of Operating_Expenses" measure="1" displayFolder="" measureGroup="Finance" count="0">
      <extLst>
        <ext xmlns:x15="http://schemas.microsoft.com/office/spreadsheetml/2010/11/main" uri="{B97F6D7D-B522-45F9-BDA1-12C45D357490}">
          <x15:cacheHierarchy aggregatedColumn="4"/>
        </ext>
      </extLst>
    </cacheHierarchy>
    <cacheHierarchy uniqueName="[Measures].[Sum of Revenue]" caption="Sum of Revenue" measure="1" displayFolder="" measureGroup="Finance" count="0">
      <extLst>
        <ext xmlns:x15="http://schemas.microsoft.com/office/spreadsheetml/2010/11/main" uri="{B97F6D7D-B522-45F9-BDA1-12C45D357490}">
          <x15:cacheHierarchy aggregatedColumn="3"/>
        </ext>
      </extLst>
    </cacheHierarchy>
    <cacheHierarchy uniqueName="[Measures].[Sum of Net_Profit]" caption="Sum of Net_Profit" measure="1" displayFolder="" measureGroup="Finance" count="0">
      <extLst>
        <ext xmlns:x15="http://schemas.microsoft.com/office/spreadsheetml/2010/11/main" uri="{B97F6D7D-B522-45F9-BDA1-12C45D357490}">
          <x15:cacheHierarchy aggregatedColumn="6"/>
        </ext>
      </extLst>
    </cacheHierarchy>
    <cacheHierarchy uniqueName="[Measures].[NetProfit]" caption="NetProfit" measure="1" displayFolder="" measureGroup="Finance" count="0"/>
    <cacheHierarchy uniqueName="[Measures].[ROA]" caption="ROA" measure="1" displayFolder="" measureGroup="Finance" count="0"/>
    <cacheHierarchy uniqueName="[Measures].[ROE]" caption="ROE" measure="1" displayFolder="" measureGroup="Finance" count="0"/>
    <cacheHierarchy uniqueName="[Measures].[totalRevenue]" caption="totalRevenue" measure="1" displayFolder="" measureGroup="Finance" count="0"/>
    <cacheHierarchy uniqueName="[Measures].[TotalProfit]" caption="TotalProfit" measure="1" displayFolder="" measureGroup="Finance" count="0"/>
    <cacheHierarchy uniqueName="[Measures].[ProfitMargin]" caption="ProfitMargin" measure="1" displayFolder="" measureGroup="Finance" count="0"/>
    <cacheHierarchy uniqueName="[Measures].[__XL_Count Table1]" caption="__XL_Count Table1" measure="1" displayFolder="" measureGroup="Table1"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3">
    <dimension name="Finance" uniqueName="[Finance]" caption="Finance"/>
    <dimension measure="1" name="Measures" uniqueName="[Measures]" caption="Measures"/>
    <dimension name="Table1" uniqueName="[Table1]" caption="Table1"/>
  </dimensions>
  <measureGroups count="2">
    <measureGroup name="Finance" caption="Financ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918497569444" backgroundQuery="1" createdVersion="8" refreshedVersion="8" minRefreshableVersion="3" recordCount="0" supportSubquery="1" supportAdvancedDrill="1" xr:uid="{3A867C24-DCAB-4D9D-8945-029C0544350A}">
  <cacheSource type="external" connectionId="3"/>
  <cacheFields count="4">
    <cacheField name="[Finance].[Date (Year)].[Date (Year)]" caption="Date (Year)" numFmtId="0" hierarchy="11" level="1">
      <sharedItems count="5">
        <s v="2018"/>
        <s v="2019"/>
        <s v="2020"/>
        <s v="2021"/>
        <s v="2022"/>
      </sharedItems>
    </cacheField>
    <cacheField name="[Finance].[Department].[Department]" caption="Department" numFmtId="0" hierarchy="2" level="1">
      <sharedItems count="4">
        <s v="Admin"/>
        <s v="Marketing"/>
        <s v="R&amp;D"/>
        <s v="Sales"/>
      </sharedItems>
    </cacheField>
    <cacheField name="[Measures].[Sum of Operating_Expenses]" caption="Sum of Operating_Expenses" numFmtId="0" hierarchy="29" level="32767"/>
    <cacheField name="[Finance].[Date (Month)].[Date (Month)]" caption="Date (Month)" numFmtId="0" hierarchy="14" level="1">
      <sharedItems containsSemiMixedTypes="0" containsNonDate="0" containsString="0"/>
    </cacheField>
  </cacheFields>
  <cacheHierarchies count="41">
    <cacheHierarchy uniqueName="[Finance].[Date]" caption="Date" attribute="1" time="1" defaultMemberUniqueName="[Finance].[Date].[All]" allUniqueName="[Finance].[Date].[All]" dimensionUniqueName="[Finance]" displayFolder="" count="0" memberValueDatatype="7" unbalanced="0"/>
    <cacheHierarchy uniqueName="[Finance].[Region]" caption="Region" attribute="1" defaultMemberUniqueName="[Finance].[Region].[All]" allUniqueName="[Finance].[Region].[All]" dimensionUniqueName="[Finance]" displayFolder="" count="0" memberValueDatatype="130" unbalanced="0"/>
    <cacheHierarchy uniqueName="[Finance].[Department]" caption="Department" attribute="1" defaultMemberUniqueName="[Finance].[Department].[All]" allUniqueName="[Finance].[Department].[All]" dimensionUniqueName="[Finance]" displayFolder="" count="2" memberValueDatatype="130" unbalanced="0">
      <fieldsUsage count="2">
        <fieldUsage x="-1"/>
        <fieldUsage x="1"/>
      </fieldsUsage>
    </cacheHierarchy>
    <cacheHierarchy uniqueName="[Finance].[Revenue]" caption="Revenue" attribute="1" defaultMemberUniqueName="[Finance].[Revenue].[All]" allUniqueName="[Finance].[Revenue].[All]" dimensionUniqueName="[Finance]" displayFolder="" count="0" memberValueDatatype="20" unbalanced="0"/>
    <cacheHierarchy uniqueName="[Finance].[Operating_Expenses]" caption="Operating_Expenses" attribute="1" defaultMemberUniqueName="[Finance].[Operating_Expenses].[All]" allUniqueName="[Finance].[Operating_Expenses].[All]" dimensionUniqueName="[Finance]" displayFolder="" count="0" memberValueDatatype="20" unbalanced="0"/>
    <cacheHierarchy uniqueName="[Finance].[Gross_Profit]" caption="Gross_Profit" attribute="1" defaultMemberUniqueName="[Finance].[Gross_Profit].[All]" allUniqueName="[Finance].[Gross_Profit].[All]" dimensionUniqueName="[Finance]" displayFolder="" count="0" memberValueDatatype="20" unbalanced="0"/>
    <cacheHierarchy uniqueName="[Finance].[Net_Profit]" caption="Net_Profit" attribute="1" defaultMemberUniqueName="[Finance].[Net_Profit].[All]" allUniqueName="[Finance].[Net_Profit].[All]" dimensionUniqueName="[Finance]" displayFolder="" count="0" memberValueDatatype="20" unbalanced="0"/>
    <cacheHierarchy uniqueName="[Finance].[Assets]" caption="Assets" attribute="1" defaultMemberUniqueName="[Finance].[Assets].[All]" allUniqueName="[Finance].[Assets].[All]" dimensionUniqueName="[Finance]" displayFolder="" count="0" memberValueDatatype="20" unbalanced="0"/>
    <cacheHierarchy uniqueName="[Finance].[Liabilities]" caption="Liabilities" attribute="1" defaultMemberUniqueName="[Finance].[Liabilities].[All]" allUniqueName="[Finance].[Liabilities].[All]" dimensionUniqueName="[Finance]" displayFolder="" count="0" memberValueDatatype="20" unbalanced="0"/>
    <cacheHierarchy uniqueName="[Finance].[Equity]" caption="Equity" attribute="1" defaultMemberUniqueName="[Finance].[Equity].[All]" allUniqueName="[Finance].[Equity].[All]" dimensionUniqueName="[Finance]" displayFolder="" count="0" memberValueDatatype="20" unbalanced="0"/>
    <cacheHierarchy uniqueName="[Finance].[Cost Efficiency]" caption="Cost Efficiency" attribute="1" defaultMemberUniqueName="[Finance].[Cost Efficiency].[All]" allUniqueName="[Finance].[Cost Efficiency].[All]" dimensionUniqueName="[Finance]" displayFolder="" count="0" memberValueDatatype="5" unbalanced="0"/>
    <cacheHierarchy uniqueName="[Finance].[Date (Year)]" caption="Date (Year)" attribute="1" defaultMemberUniqueName="[Finance].[Date (Year)].[All]" allUniqueName="[Finance].[Date (Year)].[All]" dimensionUniqueName="[Finance]" displayFolder="" count="2" memberValueDatatype="130" unbalanced="0">
      <fieldsUsage count="2">
        <fieldUsage x="-1"/>
        <fieldUsage x="0"/>
      </fieldsUsage>
    </cacheHierarchy>
    <cacheHierarchy uniqueName="[Finance].[Operating Margin]" caption="Operating Margin" attribute="1" defaultMemberUniqueName="[Finance].[Operating Margin].[All]" allUniqueName="[Finance].[Operating Margin].[All]" dimensionUniqueName="[Finance]" displayFolder="" count="0" memberValueDatatype="5" unbalanced="0"/>
    <cacheHierarchy uniqueName="[Finance].[Date (Quarter)]" caption="Date (Quarter)" attribute="1" defaultMemberUniqueName="[Finance].[Date (Quarter)].[All]" allUniqueName="[Finance].[Date (Quarter)].[All]" dimensionUniqueName="[Finance]" displayFolder="" count="0" memberValueDatatype="130" unbalanced="0"/>
    <cacheHierarchy uniqueName="[Finance].[Date (Month)]" caption="Date (Month)" attribute="1" defaultMemberUniqueName="[Finance].[Date (Month)].[All]" allUniqueName="[Finance].[Date (Month)].[All]" dimensionUniqueName="[Finance]" displayFolder="" count="2" memberValueDatatype="130" unbalanced="0">
      <fieldsUsage count="2">
        <fieldUsage x="-1"/>
        <fieldUsage x="3"/>
      </fieldsUsage>
    </cacheHierarchy>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Operating_Expenses]" caption="Operating_Expenses" attribute="1" defaultMemberUniqueName="[Table1].[Operating_Expenses].[All]" allUniqueName="[Table1].[Operating_Expenses].[All]" dimensionUniqueName="[Table1]" displayFolder="" count="0" memberValueDatatype="20" unbalanced="0"/>
    <cacheHierarchy uniqueName="[Table1].[Gross_Profit]" caption="Gross_Profit" attribute="1" defaultMemberUniqueName="[Table1].[Gross_Profit].[All]" allUniqueName="[Table1].[Gross_Profit].[All]" dimensionUniqueName="[Table1]" displayFolder="" count="0" memberValueDatatype="20" unbalanced="0"/>
    <cacheHierarchy uniqueName="[Table1].[Net_Profit]" caption="Net_Profit" attribute="1" defaultMemberUniqueName="[Table1].[Net_Profit].[All]" allUniqueName="[Table1].[Net_Profit].[All]" dimensionUniqueName="[Table1]" displayFolder="" count="0" memberValueDatatype="20" unbalanced="0"/>
    <cacheHierarchy uniqueName="[Table1].[Assets]" caption="Assets" attribute="1" defaultMemberUniqueName="[Table1].[Assets].[All]" allUniqueName="[Table1].[Assets].[All]" dimensionUniqueName="[Table1]" displayFolder="" count="0" memberValueDatatype="20" unbalanced="0"/>
    <cacheHierarchy uniqueName="[Table1].[Liabilities]" caption="Liabilities" attribute="1" defaultMemberUniqueName="[Table1].[Liabilities].[All]" allUniqueName="[Table1].[Liabilities].[All]" dimensionUniqueName="[Table1]" displayFolder="" count="0" memberValueDatatype="20" unbalanced="0"/>
    <cacheHierarchy uniqueName="[Table1].[Equity]" caption="Equity" attribute="1" defaultMemberUniqueName="[Table1].[Equity].[All]" allUniqueName="[Table1].[Equity].[All]" dimensionUniqueName="[Table1]" displayFolder="" count="0" memberValueDatatype="20" unbalanced="0"/>
    <cacheHierarchy uniqueName="[Finance].[Date (Month Index)]" caption="Date (Month Index)" attribute="1" defaultMemberUniqueName="[Finance].[Date (Month Index)].[All]" allUniqueName="[Finance].[Date (Month Index)].[All]" dimensionUniqueName="[Finance]" displayFolder="" count="0" memberValueDatatype="20" unbalanced="0" hidden="1"/>
    <cacheHierarchy uniqueName="[Measures].[Sum of Cost Efficiency]" caption="Sum of Cost Efficiency" measure="1" displayFolder="" measureGroup="Finance" count="0">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Finance" count="0">
      <extLst>
        <ext xmlns:x15="http://schemas.microsoft.com/office/spreadsheetml/2010/11/main" uri="{B97F6D7D-B522-45F9-BDA1-12C45D357490}">
          <x15:cacheHierarchy aggregatedColumn="12"/>
        </ext>
      </extLst>
    </cacheHierarchy>
    <cacheHierarchy uniqueName="[Measures].[Average of Operating Margin]" caption="Average of Operating Margin" measure="1" displayFolder="" measureGroup="Finance" count="0">
      <extLst>
        <ext xmlns:x15="http://schemas.microsoft.com/office/spreadsheetml/2010/11/main" uri="{B97F6D7D-B522-45F9-BDA1-12C45D357490}">
          <x15:cacheHierarchy aggregatedColumn="12"/>
        </ext>
      </extLst>
    </cacheHierarchy>
    <cacheHierarchy uniqueName="[Measures].[Sum of Operating_Expenses]" caption="Sum of Operating_Expenses" measure="1" displayFolder="" measureGroup="Finance" count="0" oneField="1">
      <fieldsUsage count="1">
        <fieldUsage x="2"/>
      </fieldsUsage>
      <extLst>
        <ext xmlns:x15="http://schemas.microsoft.com/office/spreadsheetml/2010/11/main" uri="{B97F6D7D-B522-45F9-BDA1-12C45D357490}">
          <x15:cacheHierarchy aggregatedColumn="4"/>
        </ext>
      </extLst>
    </cacheHierarchy>
    <cacheHierarchy uniqueName="[Measures].[Sum of Revenue]" caption="Sum of Revenue" measure="1" displayFolder="" measureGroup="Finance" count="0">
      <extLst>
        <ext xmlns:x15="http://schemas.microsoft.com/office/spreadsheetml/2010/11/main" uri="{B97F6D7D-B522-45F9-BDA1-12C45D357490}">
          <x15:cacheHierarchy aggregatedColumn="3"/>
        </ext>
      </extLst>
    </cacheHierarchy>
    <cacheHierarchy uniqueName="[Measures].[Sum of Net_Profit]" caption="Sum of Net_Profit" measure="1" displayFolder="" measureGroup="Finance" count="0">
      <extLst>
        <ext xmlns:x15="http://schemas.microsoft.com/office/spreadsheetml/2010/11/main" uri="{B97F6D7D-B522-45F9-BDA1-12C45D357490}">
          <x15:cacheHierarchy aggregatedColumn="6"/>
        </ext>
      </extLst>
    </cacheHierarchy>
    <cacheHierarchy uniqueName="[Measures].[NetProfit]" caption="NetProfit" measure="1" displayFolder="" measureGroup="Finance" count="0"/>
    <cacheHierarchy uniqueName="[Measures].[ROA]" caption="ROA" measure="1" displayFolder="" measureGroup="Finance" count="0"/>
    <cacheHierarchy uniqueName="[Measures].[ROE]" caption="ROE" measure="1" displayFolder="" measureGroup="Finance" count="0"/>
    <cacheHierarchy uniqueName="[Measures].[totalRevenue]" caption="totalRevenue" measure="1" displayFolder="" measureGroup="Finance" count="0"/>
    <cacheHierarchy uniqueName="[Measures].[TotalProfit]" caption="TotalProfit" measure="1" displayFolder="" measureGroup="Finance" count="0"/>
    <cacheHierarchy uniqueName="[Measures].[ProfitMargin]" caption="ProfitMargin" measure="1" displayFolder="" measureGroup="Finance" count="0"/>
    <cacheHierarchy uniqueName="[Measures].[__XL_Count Table1]" caption="__XL_Count Table1" measure="1" displayFolder="" measureGroup="Table1"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3">
    <dimension name="Finance" uniqueName="[Finance]" caption="Finance"/>
    <dimension measure="1" name="Measures" uniqueName="[Measures]" caption="Measures"/>
    <dimension name="Table1" uniqueName="[Table1]" caption="Table1"/>
  </dimensions>
  <measureGroups count="2">
    <measureGroup name="Finance" caption="Financ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918498263891" backgroundQuery="1" createdVersion="8" refreshedVersion="8" minRefreshableVersion="3" recordCount="0" supportSubquery="1" supportAdvancedDrill="1" xr:uid="{96BF2D5A-2440-4D63-BCC2-626C703FB21E}">
  <cacheSource type="external" connectionId="3"/>
  <cacheFields count="4">
    <cacheField name="[Finance].[Date (Year)].[Date (Year)]" caption="Date (Year)" numFmtId="0" hierarchy="11" level="1">
      <sharedItems count="5">
        <s v="2018"/>
        <s v="2019"/>
        <s v="2020"/>
        <s v="2021"/>
        <s v="2022"/>
      </sharedItems>
    </cacheField>
    <cacheField name="[Measures].[ROA]" caption="ROA" numFmtId="0" hierarchy="33" level="32767"/>
    <cacheField name="[Measures].[ROE]" caption="ROE" numFmtId="0" hierarchy="34" level="32767"/>
    <cacheField name="[Finance].[Date (Month)].[Date (Month)]" caption="Date (Month)" numFmtId="0" hierarchy="14" level="1">
      <sharedItems containsSemiMixedTypes="0" containsNonDate="0" containsString="0"/>
    </cacheField>
  </cacheFields>
  <cacheHierarchies count="41">
    <cacheHierarchy uniqueName="[Finance].[Date]" caption="Date" attribute="1" time="1" defaultMemberUniqueName="[Finance].[Date].[All]" allUniqueName="[Finance].[Date].[All]" dimensionUniqueName="[Finance]" displayFolder="" count="0" memberValueDatatype="7" unbalanced="0"/>
    <cacheHierarchy uniqueName="[Finance].[Region]" caption="Region" attribute="1" defaultMemberUniqueName="[Finance].[Region].[All]" allUniqueName="[Finance].[Region].[All]" dimensionUniqueName="[Finance]" displayFolder="" count="0" memberValueDatatype="130" unbalanced="0"/>
    <cacheHierarchy uniqueName="[Finance].[Department]" caption="Department" attribute="1" defaultMemberUniqueName="[Finance].[Department].[All]" allUniqueName="[Finance].[Department].[All]" dimensionUniqueName="[Finance]" displayFolder="" count="0" memberValueDatatype="130" unbalanced="0"/>
    <cacheHierarchy uniqueName="[Finance].[Revenue]" caption="Revenue" attribute="1" defaultMemberUniqueName="[Finance].[Revenue].[All]" allUniqueName="[Finance].[Revenue].[All]" dimensionUniqueName="[Finance]" displayFolder="" count="0" memberValueDatatype="20" unbalanced="0"/>
    <cacheHierarchy uniqueName="[Finance].[Operating_Expenses]" caption="Operating_Expenses" attribute="1" defaultMemberUniqueName="[Finance].[Operating_Expenses].[All]" allUniqueName="[Finance].[Operating_Expenses].[All]" dimensionUniqueName="[Finance]" displayFolder="" count="0" memberValueDatatype="20" unbalanced="0"/>
    <cacheHierarchy uniqueName="[Finance].[Gross_Profit]" caption="Gross_Profit" attribute="1" defaultMemberUniqueName="[Finance].[Gross_Profit].[All]" allUniqueName="[Finance].[Gross_Profit].[All]" dimensionUniqueName="[Finance]" displayFolder="" count="0" memberValueDatatype="20" unbalanced="0"/>
    <cacheHierarchy uniqueName="[Finance].[Net_Profit]" caption="Net_Profit" attribute="1" defaultMemberUniqueName="[Finance].[Net_Profit].[All]" allUniqueName="[Finance].[Net_Profit].[All]" dimensionUniqueName="[Finance]" displayFolder="" count="0" memberValueDatatype="20" unbalanced="0"/>
    <cacheHierarchy uniqueName="[Finance].[Assets]" caption="Assets" attribute="1" defaultMemberUniqueName="[Finance].[Assets].[All]" allUniqueName="[Finance].[Assets].[All]" dimensionUniqueName="[Finance]" displayFolder="" count="0" memberValueDatatype="20" unbalanced="0"/>
    <cacheHierarchy uniqueName="[Finance].[Liabilities]" caption="Liabilities" attribute="1" defaultMemberUniqueName="[Finance].[Liabilities].[All]" allUniqueName="[Finance].[Liabilities].[All]" dimensionUniqueName="[Finance]" displayFolder="" count="0" memberValueDatatype="20" unbalanced="0"/>
    <cacheHierarchy uniqueName="[Finance].[Equity]" caption="Equity" attribute="1" defaultMemberUniqueName="[Finance].[Equity].[All]" allUniqueName="[Finance].[Equity].[All]" dimensionUniqueName="[Finance]" displayFolder="" count="0" memberValueDatatype="20" unbalanced="0"/>
    <cacheHierarchy uniqueName="[Finance].[Cost Efficiency]" caption="Cost Efficiency" attribute="1" defaultMemberUniqueName="[Finance].[Cost Efficiency].[All]" allUniqueName="[Finance].[Cost Efficiency].[All]" dimensionUniqueName="[Finance]" displayFolder="" count="0" memberValueDatatype="5" unbalanced="0"/>
    <cacheHierarchy uniqueName="[Finance].[Date (Year)]" caption="Date (Year)" attribute="1" defaultMemberUniqueName="[Finance].[Date (Year)].[All]" allUniqueName="[Finance].[Date (Year)].[All]" dimensionUniqueName="[Finance]" displayFolder="" count="2" memberValueDatatype="130" unbalanced="0">
      <fieldsUsage count="2">
        <fieldUsage x="-1"/>
        <fieldUsage x="0"/>
      </fieldsUsage>
    </cacheHierarchy>
    <cacheHierarchy uniqueName="[Finance].[Operating Margin]" caption="Operating Margin" attribute="1" defaultMemberUniqueName="[Finance].[Operating Margin].[All]" allUniqueName="[Finance].[Operating Margin].[All]" dimensionUniqueName="[Finance]" displayFolder="" count="0" memberValueDatatype="5" unbalanced="0"/>
    <cacheHierarchy uniqueName="[Finance].[Date (Quarter)]" caption="Date (Quarter)" attribute="1" defaultMemberUniqueName="[Finance].[Date (Quarter)].[All]" allUniqueName="[Finance].[Date (Quarter)].[All]" dimensionUniqueName="[Finance]" displayFolder="" count="0" memberValueDatatype="130" unbalanced="0"/>
    <cacheHierarchy uniqueName="[Finance].[Date (Month)]" caption="Date (Month)" attribute="1" defaultMemberUniqueName="[Finance].[Date (Month)].[All]" allUniqueName="[Finance].[Date (Month)].[All]" dimensionUniqueName="[Finance]" displayFolder="" count="2" memberValueDatatype="130" unbalanced="0">
      <fieldsUsage count="2">
        <fieldUsage x="-1"/>
        <fieldUsage x="3"/>
      </fieldsUsage>
    </cacheHierarchy>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Operating_Expenses]" caption="Operating_Expenses" attribute="1" defaultMemberUniqueName="[Table1].[Operating_Expenses].[All]" allUniqueName="[Table1].[Operating_Expenses].[All]" dimensionUniqueName="[Table1]" displayFolder="" count="0" memberValueDatatype="20" unbalanced="0"/>
    <cacheHierarchy uniqueName="[Table1].[Gross_Profit]" caption="Gross_Profit" attribute="1" defaultMemberUniqueName="[Table1].[Gross_Profit].[All]" allUniqueName="[Table1].[Gross_Profit].[All]" dimensionUniqueName="[Table1]" displayFolder="" count="0" memberValueDatatype="20" unbalanced="0"/>
    <cacheHierarchy uniqueName="[Table1].[Net_Profit]" caption="Net_Profit" attribute="1" defaultMemberUniqueName="[Table1].[Net_Profit].[All]" allUniqueName="[Table1].[Net_Profit].[All]" dimensionUniqueName="[Table1]" displayFolder="" count="0" memberValueDatatype="20" unbalanced="0"/>
    <cacheHierarchy uniqueName="[Table1].[Assets]" caption="Assets" attribute="1" defaultMemberUniqueName="[Table1].[Assets].[All]" allUniqueName="[Table1].[Assets].[All]" dimensionUniqueName="[Table1]" displayFolder="" count="0" memberValueDatatype="20" unbalanced="0"/>
    <cacheHierarchy uniqueName="[Table1].[Liabilities]" caption="Liabilities" attribute="1" defaultMemberUniqueName="[Table1].[Liabilities].[All]" allUniqueName="[Table1].[Liabilities].[All]" dimensionUniqueName="[Table1]" displayFolder="" count="0" memberValueDatatype="20" unbalanced="0"/>
    <cacheHierarchy uniqueName="[Table1].[Equity]" caption="Equity" attribute="1" defaultMemberUniqueName="[Table1].[Equity].[All]" allUniqueName="[Table1].[Equity].[All]" dimensionUniqueName="[Table1]" displayFolder="" count="0" memberValueDatatype="20" unbalanced="0"/>
    <cacheHierarchy uniqueName="[Finance].[Date (Month Index)]" caption="Date (Month Index)" attribute="1" defaultMemberUniqueName="[Finance].[Date (Month Index)].[All]" allUniqueName="[Finance].[Date (Month Index)].[All]" dimensionUniqueName="[Finance]" displayFolder="" count="0" memberValueDatatype="20" unbalanced="0" hidden="1"/>
    <cacheHierarchy uniqueName="[Measures].[Sum of Cost Efficiency]" caption="Sum of Cost Efficiency" measure="1" displayFolder="" measureGroup="Finance" count="0">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Finance" count="0">
      <extLst>
        <ext xmlns:x15="http://schemas.microsoft.com/office/spreadsheetml/2010/11/main" uri="{B97F6D7D-B522-45F9-BDA1-12C45D357490}">
          <x15:cacheHierarchy aggregatedColumn="12"/>
        </ext>
      </extLst>
    </cacheHierarchy>
    <cacheHierarchy uniqueName="[Measures].[Average of Operating Margin]" caption="Average of Operating Margin" measure="1" displayFolder="" measureGroup="Finance" count="0">
      <extLst>
        <ext xmlns:x15="http://schemas.microsoft.com/office/spreadsheetml/2010/11/main" uri="{B97F6D7D-B522-45F9-BDA1-12C45D357490}">
          <x15:cacheHierarchy aggregatedColumn="12"/>
        </ext>
      </extLst>
    </cacheHierarchy>
    <cacheHierarchy uniqueName="[Measures].[Sum of Operating_Expenses]" caption="Sum of Operating_Expenses" measure="1" displayFolder="" measureGroup="Finance" count="0">
      <extLst>
        <ext xmlns:x15="http://schemas.microsoft.com/office/spreadsheetml/2010/11/main" uri="{B97F6D7D-B522-45F9-BDA1-12C45D357490}">
          <x15:cacheHierarchy aggregatedColumn="4"/>
        </ext>
      </extLst>
    </cacheHierarchy>
    <cacheHierarchy uniqueName="[Measures].[Sum of Revenue]" caption="Sum of Revenue" measure="1" displayFolder="" measureGroup="Finance" count="0">
      <extLst>
        <ext xmlns:x15="http://schemas.microsoft.com/office/spreadsheetml/2010/11/main" uri="{B97F6D7D-B522-45F9-BDA1-12C45D357490}">
          <x15:cacheHierarchy aggregatedColumn="3"/>
        </ext>
      </extLst>
    </cacheHierarchy>
    <cacheHierarchy uniqueName="[Measures].[Sum of Net_Profit]" caption="Sum of Net_Profit" measure="1" displayFolder="" measureGroup="Finance" count="0">
      <extLst>
        <ext xmlns:x15="http://schemas.microsoft.com/office/spreadsheetml/2010/11/main" uri="{B97F6D7D-B522-45F9-BDA1-12C45D357490}">
          <x15:cacheHierarchy aggregatedColumn="6"/>
        </ext>
      </extLst>
    </cacheHierarchy>
    <cacheHierarchy uniqueName="[Measures].[NetProfit]" caption="NetProfit" measure="1" displayFolder="" measureGroup="Finance" count="0"/>
    <cacheHierarchy uniqueName="[Measures].[ROA]" caption="ROA" measure="1" displayFolder="" measureGroup="Finance" count="0" oneField="1">
      <fieldsUsage count="1">
        <fieldUsage x="1"/>
      </fieldsUsage>
    </cacheHierarchy>
    <cacheHierarchy uniqueName="[Measures].[ROE]" caption="ROE" measure="1" displayFolder="" measureGroup="Finance" count="0" oneField="1">
      <fieldsUsage count="1">
        <fieldUsage x="2"/>
      </fieldsUsage>
    </cacheHierarchy>
    <cacheHierarchy uniqueName="[Measures].[totalRevenue]" caption="totalRevenue" measure="1" displayFolder="" measureGroup="Finance" count="0"/>
    <cacheHierarchy uniqueName="[Measures].[TotalProfit]" caption="TotalProfit" measure="1" displayFolder="" measureGroup="Finance" count="0"/>
    <cacheHierarchy uniqueName="[Measures].[ProfitMargin]" caption="ProfitMargin" measure="1" displayFolder="" measureGroup="Finance" count="0"/>
    <cacheHierarchy uniqueName="[Measures].[__XL_Count Table1]" caption="__XL_Count Table1" measure="1" displayFolder="" measureGroup="Table1"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3">
    <dimension name="Finance" uniqueName="[Finance]" caption="Finance"/>
    <dimension measure="1" name="Measures" uniqueName="[Measures]" caption="Measures"/>
    <dimension name="Table1" uniqueName="[Table1]" caption="Table1"/>
  </dimensions>
  <measureGroups count="2">
    <measureGroup name="Finance" caption="Financ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918498842591" backgroundQuery="1" createdVersion="8" refreshedVersion="8" minRefreshableVersion="3" recordCount="0" supportSubquery="1" supportAdvancedDrill="1" xr:uid="{C8311D02-85D2-44A5-87BD-A9F144229C26}">
  <cacheSource type="external" connectionId="3"/>
  <cacheFields count="4">
    <cacheField name="[Finance].[Date (Year)].[Date (Year)]" caption="Date (Year)" numFmtId="0" hierarchy="11" level="1">
      <sharedItems count="5">
        <s v="2018"/>
        <s v="2019"/>
        <s v="2020"/>
        <s v="2021"/>
        <s v="2022"/>
      </sharedItems>
    </cacheField>
    <cacheField name="[Measures].[Sum of Revenue]" caption="Sum of Revenue" numFmtId="0" hierarchy="30" level="32767"/>
    <cacheField name="[Measures].[Sum of Net_Profit]" caption="Sum of Net_Profit" numFmtId="0" hierarchy="31" level="32767"/>
    <cacheField name="[Finance].[Date (Month)].[Date (Month)]" caption="Date (Month)" numFmtId="0" hierarchy="14" level="1">
      <sharedItems containsSemiMixedTypes="0" containsNonDate="0" containsString="0"/>
    </cacheField>
  </cacheFields>
  <cacheHierarchies count="41">
    <cacheHierarchy uniqueName="[Finance].[Date]" caption="Date" attribute="1" time="1" defaultMemberUniqueName="[Finance].[Date].[All]" allUniqueName="[Finance].[Date].[All]" dimensionUniqueName="[Finance]" displayFolder="" count="0" memberValueDatatype="7" unbalanced="0"/>
    <cacheHierarchy uniqueName="[Finance].[Region]" caption="Region" attribute="1" defaultMemberUniqueName="[Finance].[Region].[All]" allUniqueName="[Finance].[Region].[All]" dimensionUniqueName="[Finance]" displayFolder="" count="0" memberValueDatatype="130" unbalanced="0"/>
    <cacheHierarchy uniqueName="[Finance].[Department]" caption="Department" attribute="1" defaultMemberUniqueName="[Finance].[Department].[All]" allUniqueName="[Finance].[Department].[All]" dimensionUniqueName="[Finance]" displayFolder="" count="0" memberValueDatatype="130" unbalanced="0"/>
    <cacheHierarchy uniqueName="[Finance].[Revenue]" caption="Revenue" attribute="1" defaultMemberUniqueName="[Finance].[Revenue].[All]" allUniqueName="[Finance].[Revenue].[All]" dimensionUniqueName="[Finance]" displayFolder="" count="0" memberValueDatatype="20" unbalanced="0"/>
    <cacheHierarchy uniqueName="[Finance].[Operating_Expenses]" caption="Operating_Expenses" attribute="1" defaultMemberUniqueName="[Finance].[Operating_Expenses].[All]" allUniqueName="[Finance].[Operating_Expenses].[All]" dimensionUniqueName="[Finance]" displayFolder="" count="0" memberValueDatatype="20" unbalanced="0"/>
    <cacheHierarchy uniqueName="[Finance].[Gross_Profit]" caption="Gross_Profit" attribute="1" defaultMemberUniqueName="[Finance].[Gross_Profit].[All]" allUniqueName="[Finance].[Gross_Profit].[All]" dimensionUniqueName="[Finance]" displayFolder="" count="0" memberValueDatatype="20" unbalanced="0"/>
    <cacheHierarchy uniqueName="[Finance].[Net_Profit]" caption="Net_Profit" attribute="1" defaultMemberUniqueName="[Finance].[Net_Profit].[All]" allUniqueName="[Finance].[Net_Profit].[All]" dimensionUniqueName="[Finance]" displayFolder="" count="0" memberValueDatatype="20" unbalanced="0"/>
    <cacheHierarchy uniqueName="[Finance].[Assets]" caption="Assets" attribute="1" defaultMemberUniqueName="[Finance].[Assets].[All]" allUniqueName="[Finance].[Assets].[All]" dimensionUniqueName="[Finance]" displayFolder="" count="0" memberValueDatatype="20" unbalanced="0"/>
    <cacheHierarchy uniqueName="[Finance].[Liabilities]" caption="Liabilities" attribute="1" defaultMemberUniqueName="[Finance].[Liabilities].[All]" allUniqueName="[Finance].[Liabilities].[All]" dimensionUniqueName="[Finance]" displayFolder="" count="0" memberValueDatatype="20" unbalanced="0"/>
    <cacheHierarchy uniqueName="[Finance].[Equity]" caption="Equity" attribute="1" defaultMemberUniqueName="[Finance].[Equity].[All]" allUniqueName="[Finance].[Equity].[All]" dimensionUniqueName="[Finance]" displayFolder="" count="0" memberValueDatatype="20" unbalanced="0"/>
    <cacheHierarchy uniqueName="[Finance].[Cost Efficiency]" caption="Cost Efficiency" attribute="1" defaultMemberUniqueName="[Finance].[Cost Efficiency].[All]" allUniqueName="[Finance].[Cost Efficiency].[All]" dimensionUniqueName="[Finance]" displayFolder="" count="0" memberValueDatatype="5" unbalanced="0"/>
    <cacheHierarchy uniqueName="[Finance].[Date (Year)]" caption="Date (Year)" attribute="1" defaultMemberUniqueName="[Finance].[Date (Year)].[All]" allUniqueName="[Finance].[Date (Year)].[All]" dimensionUniqueName="[Finance]" displayFolder="" count="2" memberValueDatatype="130" unbalanced="0">
      <fieldsUsage count="2">
        <fieldUsage x="-1"/>
        <fieldUsage x="0"/>
      </fieldsUsage>
    </cacheHierarchy>
    <cacheHierarchy uniqueName="[Finance].[Operating Margin]" caption="Operating Margin" attribute="1" defaultMemberUniqueName="[Finance].[Operating Margin].[All]" allUniqueName="[Finance].[Operating Margin].[All]" dimensionUniqueName="[Finance]" displayFolder="" count="0" memberValueDatatype="5" unbalanced="0"/>
    <cacheHierarchy uniqueName="[Finance].[Date (Quarter)]" caption="Date (Quarter)" attribute="1" defaultMemberUniqueName="[Finance].[Date (Quarter)].[All]" allUniqueName="[Finance].[Date (Quarter)].[All]" dimensionUniqueName="[Finance]" displayFolder="" count="0" memberValueDatatype="130" unbalanced="0"/>
    <cacheHierarchy uniqueName="[Finance].[Date (Month)]" caption="Date (Month)" attribute="1" defaultMemberUniqueName="[Finance].[Date (Month)].[All]" allUniqueName="[Finance].[Date (Month)].[All]" dimensionUniqueName="[Finance]" displayFolder="" count="2" memberValueDatatype="130" unbalanced="0">
      <fieldsUsage count="2">
        <fieldUsage x="-1"/>
        <fieldUsage x="3"/>
      </fieldsUsage>
    </cacheHierarchy>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Operating_Expenses]" caption="Operating_Expenses" attribute="1" defaultMemberUniqueName="[Table1].[Operating_Expenses].[All]" allUniqueName="[Table1].[Operating_Expenses].[All]" dimensionUniqueName="[Table1]" displayFolder="" count="0" memberValueDatatype="20" unbalanced="0"/>
    <cacheHierarchy uniqueName="[Table1].[Gross_Profit]" caption="Gross_Profit" attribute="1" defaultMemberUniqueName="[Table1].[Gross_Profit].[All]" allUniqueName="[Table1].[Gross_Profit].[All]" dimensionUniqueName="[Table1]" displayFolder="" count="0" memberValueDatatype="20" unbalanced="0"/>
    <cacheHierarchy uniqueName="[Table1].[Net_Profit]" caption="Net_Profit" attribute="1" defaultMemberUniqueName="[Table1].[Net_Profit].[All]" allUniqueName="[Table1].[Net_Profit].[All]" dimensionUniqueName="[Table1]" displayFolder="" count="0" memberValueDatatype="20" unbalanced="0"/>
    <cacheHierarchy uniqueName="[Table1].[Assets]" caption="Assets" attribute="1" defaultMemberUniqueName="[Table1].[Assets].[All]" allUniqueName="[Table1].[Assets].[All]" dimensionUniqueName="[Table1]" displayFolder="" count="0" memberValueDatatype="20" unbalanced="0"/>
    <cacheHierarchy uniqueName="[Table1].[Liabilities]" caption="Liabilities" attribute="1" defaultMemberUniqueName="[Table1].[Liabilities].[All]" allUniqueName="[Table1].[Liabilities].[All]" dimensionUniqueName="[Table1]" displayFolder="" count="0" memberValueDatatype="20" unbalanced="0"/>
    <cacheHierarchy uniqueName="[Table1].[Equity]" caption="Equity" attribute="1" defaultMemberUniqueName="[Table1].[Equity].[All]" allUniqueName="[Table1].[Equity].[All]" dimensionUniqueName="[Table1]" displayFolder="" count="0" memberValueDatatype="20" unbalanced="0"/>
    <cacheHierarchy uniqueName="[Finance].[Date (Month Index)]" caption="Date (Month Index)" attribute="1" defaultMemberUniqueName="[Finance].[Date (Month Index)].[All]" allUniqueName="[Finance].[Date (Month Index)].[All]" dimensionUniqueName="[Finance]" displayFolder="" count="0" memberValueDatatype="20" unbalanced="0" hidden="1"/>
    <cacheHierarchy uniqueName="[Measures].[Sum of Cost Efficiency]" caption="Sum of Cost Efficiency" measure="1" displayFolder="" measureGroup="Finance" count="0">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Finance" count="0">
      <extLst>
        <ext xmlns:x15="http://schemas.microsoft.com/office/spreadsheetml/2010/11/main" uri="{B97F6D7D-B522-45F9-BDA1-12C45D357490}">
          <x15:cacheHierarchy aggregatedColumn="12"/>
        </ext>
      </extLst>
    </cacheHierarchy>
    <cacheHierarchy uniqueName="[Measures].[Average of Operating Margin]" caption="Average of Operating Margin" measure="1" displayFolder="" measureGroup="Finance" count="0">
      <extLst>
        <ext xmlns:x15="http://schemas.microsoft.com/office/spreadsheetml/2010/11/main" uri="{B97F6D7D-B522-45F9-BDA1-12C45D357490}">
          <x15:cacheHierarchy aggregatedColumn="12"/>
        </ext>
      </extLst>
    </cacheHierarchy>
    <cacheHierarchy uniqueName="[Measures].[Sum of Operating_Expenses]" caption="Sum of Operating_Expenses" measure="1" displayFolder="" measureGroup="Finance" count="0">
      <extLst>
        <ext xmlns:x15="http://schemas.microsoft.com/office/spreadsheetml/2010/11/main" uri="{B97F6D7D-B522-45F9-BDA1-12C45D357490}">
          <x15:cacheHierarchy aggregatedColumn="4"/>
        </ext>
      </extLst>
    </cacheHierarchy>
    <cacheHierarchy uniqueName="[Measures].[Sum of Revenue]" caption="Sum of Revenue" measure="1" displayFolder="" measureGroup="Finance" count="0" oneField="1">
      <fieldsUsage count="1">
        <fieldUsage x="1"/>
      </fieldsUsage>
      <extLst>
        <ext xmlns:x15="http://schemas.microsoft.com/office/spreadsheetml/2010/11/main" uri="{B97F6D7D-B522-45F9-BDA1-12C45D357490}">
          <x15:cacheHierarchy aggregatedColumn="3"/>
        </ext>
      </extLst>
    </cacheHierarchy>
    <cacheHierarchy uniqueName="[Measures].[Sum of Net_Profit]" caption="Sum of Net_Profit" measure="1" displayFolder="" measureGroup="Finance" count="0" oneField="1">
      <fieldsUsage count="1">
        <fieldUsage x="2"/>
      </fieldsUsage>
      <extLst>
        <ext xmlns:x15="http://schemas.microsoft.com/office/spreadsheetml/2010/11/main" uri="{B97F6D7D-B522-45F9-BDA1-12C45D357490}">
          <x15:cacheHierarchy aggregatedColumn="6"/>
        </ext>
      </extLst>
    </cacheHierarchy>
    <cacheHierarchy uniqueName="[Measures].[NetProfit]" caption="NetProfit" measure="1" displayFolder="" measureGroup="Finance" count="0"/>
    <cacheHierarchy uniqueName="[Measures].[ROA]" caption="ROA" measure="1" displayFolder="" measureGroup="Finance" count="0"/>
    <cacheHierarchy uniqueName="[Measures].[ROE]" caption="ROE" measure="1" displayFolder="" measureGroup="Finance" count="0"/>
    <cacheHierarchy uniqueName="[Measures].[totalRevenue]" caption="totalRevenue" measure="1" displayFolder="" measureGroup="Finance" count="0"/>
    <cacheHierarchy uniqueName="[Measures].[TotalProfit]" caption="TotalProfit" measure="1" displayFolder="" measureGroup="Finance" count="0"/>
    <cacheHierarchy uniqueName="[Measures].[ProfitMargin]" caption="ProfitMargin" measure="1" displayFolder="" measureGroup="Finance" count="0"/>
    <cacheHierarchy uniqueName="[Measures].[__XL_Count Table1]" caption="__XL_Count Table1" measure="1" displayFolder="" measureGroup="Table1"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3">
    <dimension name="Finance" uniqueName="[Finance]" caption="Finance"/>
    <dimension measure="1" name="Measures" uniqueName="[Measures]" caption="Measures"/>
    <dimension name="Table1" uniqueName="[Table1]" caption="Table1"/>
  </dimensions>
  <measureGroups count="2">
    <measureGroup name="Finance" caption="Financ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918499189815" backgroundQuery="1" createdVersion="8" refreshedVersion="8" minRefreshableVersion="3" recordCount="0" supportSubquery="1" supportAdvancedDrill="1" xr:uid="{D5CD04B7-08D4-4BDC-8A1D-C5B7274EBD30}">
  <cacheSource type="external" connectionId="3"/>
  <cacheFields count="2">
    <cacheField name="[Measures].[totalRevenue]" caption="totalRevenue" numFmtId="0" hierarchy="35" level="32767"/>
    <cacheField name="[Finance].[Date (Month)].[Date (Month)]" caption="Date (Month)" numFmtId="0" hierarchy="14" level="1">
      <sharedItems containsSemiMixedTypes="0" containsNonDate="0" containsString="0"/>
    </cacheField>
  </cacheFields>
  <cacheHierarchies count="41">
    <cacheHierarchy uniqueName="[Finance].[Date]" caption="Date" attribute="1" time="1" defaultMemberUniqueName="[Finance].[Date].[All]" allUniqueName="[Finance].[Date].[All]" dimensionUniqueName="[Finance]" displayFolder="" count="0" memberValueDatatype="7" unbalanced="0"/>
    <cacheHierarchy uniqueName="[Finance].[Region]" caption="Region" attribute="1" defaultMemberUniqueName="[Finance].[Region].[All]" allUniqueName="[Finance].[Region].[All]" dimensionUniqueName="[Finance]" displayFolder="" count="0" memberValueDatatype="130" unbalanced="0"/>
    <cacheHierarchy uniqueName="[Finance].[Department]" caption="Department" attribute="1" defaultMemberUniqueName="[Finance].[Department].[All]" allUniqueName="[Finance].[Department].[All]" dimensionUniqueName="[Finance]" displayFolder="" count="0" memberValueDatatype="130" unbalanced="0"/>
    <cacheHierarchy uniqueName="[Finance].[Revenue]" caption="Revenue" attribute="1" defaultMemberUniqueName="[Finance].[Revenue].[All]" allUniqueName="[Finance].[Revenue].[All]" dimensionUniqueName="[Finance]" displayFolder="" count="0" memberValueDatatype="20" unbalanced="0"/>
    <cacheHierarchy uniqueName="[Finance].[Operating_Expenses]" caption="Operating_Expenses" attribute="1" defaultMemberUniqueName="[Finance].[Operating_Expenses].[All]" allUniqueName="[Finance].[Operating_Expenses].[All]" dimensionUniqueName="[Finance]" displayFolder="" count="0" memberValueDatatype="20" unbalanced="0"/>
    <cacheHierarchy uniqueName="[Finance].[Gross_Profit]" caption="Gross_Profit" attribute="1" defaultMemberUniqueName="[Finance].[Gross_Profit].[All]" allUniqueName="[Finance].[Gross_Profit].[All]" dimensionUniqueName="[Finance]" displayFolder="" count="0" memberValueDatatype="20" unbalanced="0"/>
    <cacheHierarchy uniqueName="[Finance].[Net_Profit]" caption="Net_Profit" attribute="1" defaultMemberUniqueName="[Finance].[Net_Profit].[All]" allUniqueName="[Finance].[Net_Profit].[All]" dimensionUniqueName="[Finance]" displayFolder="" count="0" memberValueDatatype="20" unbalanced="0"/>
    <cacheHierarchy uniqueName="[Finance].[Assets]" caption="Assets" attribute="1" defaultMemberUniqueName="[Finance].[Assets].[All]" allUniqueName="[Finance].[Assets].[All]" dimensionUniqueName="[Finance]" displayFolder="" count="0" memberValueDatatype="20" unbalanced="0"/>
    <cacheHierarchy uniqueName="[Finance].[Liabilities]" caption="Liabilities" attribute="1" defaultMemberUniqueName="[Finance].[Liabilities].[All]" allUniqueName="[Finance].[Liabilities].[All]" dimensionUniqueName="[Finance]" displayFolder="" count="0" memberValueDatatype="20" unbalanced="0"/>
    <cacheHierarchy uniqueName="[Finance].[Equity]" caption="Equity" attribute="1" defaultMemberUniqueName="[Finance].[Equity].[All]" allUniqueName="[Finance].[Equity].[All]" dimensionUniqueName="[Finance]" displayFolder="" count="0" memberValueDatatype="20" unbalanced="0"/>
    <cacheHierarchy uniqueName="[Finance].[Cost Efficiency]" caption="Cost Efficiency" attribute="1" defaultMemberUniqueName="[Finance].[Cost Efficiency].[All]" allUniqueName="[Finance].[Cost Efficiency].[All]" dimensionUniqueName="[Finance]" displayFolder="" count="0" memberValueDatatype="5" unbalanced="0"/>
    <cacheHierarchy uniqueName="[Finance].[Date (Year)]" caption="Date (Year)" attribute="1" defaultMemberUniqueName="[Finance].[Date (Year)].[All]" allUniqueName="[Finance].[Date (Year)].[All]" dimensionUniqueName="[Finance]" displayFolder="" count="2" memberValueDatatype="130" unbalanced="0"/>
    <cacheHierarchy uniqueName="[Finance].[Operating Margin]" caption="Operating Margin" attribute="1" defaultMemberUniqueName="[Finance].[Operating Margin].[All]" allUniqueName="[Finance].[Operating Margin].[All]" dimensionUniqueName="[Finance]" displayFolder="" count="0" memberValueDatatype="5" unbalanced="0"/>
    <cacheHierarchy uniqueName="[Finance].[Date (Quarter)]" caption="Date (Quarter)" attribute="1" defaultMemberUniqueName="[Finance].[Date (Quarter)].[All]" allUniqueName="[Finance].[Date (Quarter)].[All]" dimensionUniqueName="[Finance]" displayFolder="" count="0" memberValueDatatype="130" unbalanced="0"/>
    <cacheHierarchy uniqueName="[Finance].[Date (Month)]" caption="Date (Month)" attribute="1" defaultMemberUniqueName="[Finance].[Date (Month)].[All]" allUniqueName="[Finance].[Date (Month)].[All]" dimensionUniqueName="[Finance]" displayFolder="" count="2" memberValueDatatype="130" unbalanced="0">
      <fieldsUsage count="2">
        <fieldUsage x="-1"/>
        <fieldUsage x="1"/>
      </fieldsUsage>
    </cacheHierarchy>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Operating_Expenses]" caption="Operating_Expenses" attribute="1" defaultMemberUniqueName="[Table1].[Operating_Expenses].[All]" allUniqueName="[Table1].[Operating_Expenses].[All]" dimensionUniqueName="[Table1]" displayFolder="" count="0" memberValueDatatype="20" unbalanced="0"/>
    <cacheHierarchy uniqueName="[Table1].[Gross_Profit]" caption="Gross_Profit" attribute="1" defaultMemberUniqueName="[Table1].[Gross_Profit].[All]" allUniqueName="[Table1].[Gross_Profit].[All]" dimensionUniqueName="[Table1]" displayFolder="" count="0" memberValueDatatype="20" unbalanced="0"/>
    <cacheHierarchy uniqueName="[Table1].[Net_Profit]" caption="Net_Profit" attribute="1" defaultMemberUniqueName="[Table1].[Net_Profit].[All]" allUniqueName="[Table1].[Net_Profit].[All]" dimensionUniqueName="[Table1]" displayFolder="" count="0" memberValueDatatype="20" unbalanced="0"/>
    <cacheHierarchy uniqueName="[Table1].[Assets]" caption="Assets" attribute="1" defaultMemberUniqueName="[Table1].[Assets].[All]" allUniqueName="[Table1].[Assets].[All]" dimensionUniqueName="[Table1]" displayFolder="" count="0" memberValueDatatype="20" unbalanced="0"/>
    <cacheHierarchy uniqueName="[Table1].[Liabilities]" caption="Liabilities" attribute="1" defaultMemberUniqueName="[Table1].[Liabilities].[All]" allUniqueName="[Table1].[Liabilities].[All]" dimensionUniqueName="[Table1]" displayFolder="" count="0" memberValueDatatype="20" unbalanced="0"/>
    <cacheHierarchy uniqueName="[Table1].[Equity]" caption="Equity" attribute="1" defaultMemberUniqueName="[Table1].[Equity].[All]" allUniqueName="[Table1].[Equity].[All]" dimensionUniqueName="[Table1]" displayFolder="" count="0" memberValueDatatype="20" unbalanced="0"/>
    <cacheHierarchy uniqueName="[Finance].[Date (Month Index)]" caption="Date (Month Index)" attribute="1" defaultMemberUniqueName="[Finance].[Date (Month Index)].[All]" allUniqueName="[Finance].[Date (Month Index)].[All]" dimensionUniqueName="[Finance]" displayFolder="" count="0" memberValueDatatype="20" unbalanced="0" hidden="1"/>
    <cacheHierarchy uniqueName="[Measures].[Sum of Cost Efficiency]" caption="Sum of Cost Efficiency" measure="1" displayFolder="" measureGroup="Finance" count="0">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Finance" count="0">
      <extLst>
        <ext xmlns:x15="http://schemas.microsoft.com/office/spreadsheetml/2010/11/main" uri="{B97F6D7D-B522-45F9-BDA1-12C45D357490}">
          <x15:cacheHierarchy aggregatedColumn="12"/>
        </ext>
      </extLst>
    </cacheHierarchy>
    <cacheHierarchy uniqueName="[Measures].[Average of Operating Margin]" caption="Average of Operating Margin" measure="1" displayFolder="" measureGroup="Finance" count="0">
      <extLst>
        <ext xmlns:x15="http://schemas.microsoft.com/office/spreadsheetml/2010/11/main" uri="{B97F6D7D-B522-45F9-BDA1-12C45D357490}">
          <x15:cacheHierarchy aggregatedColumn="12"/>
        </ext>
      </extLst>
    </cacheHierarchy>
    <cacheHierarchy uniqueName="[Measures].[Sum of Operating_Expenses]" caption="Sum of Operating_Expenses" measure="1" displayFolder="" measureGroup="Finance" count="0">
      <extLst>
        <ext xmlns:x15="http://schemas.microsoft.com/office/spreadsheetml/2010/11/main" uri="{B97F6D7D-B522-45F9-BDA1-12C45D357490}">
          <x15:cacheHierarchy aggregatedColumn="4"/>
        </ext>
      </extLst>
    </cacheHierarchy>
    <cacheHierarchy uniqueName="[Measures].[Sum of Revenue]" caption="Sum of Revenue" measure="1" displayFolder="" measureGroup="Finance" count="0">
      <extLst>
        <ext xmlns:x15="http://schemas.microsoft.com/office/spreadsheetml/2010/11/main" uri="{B97F6D7D-B522-45F9-BDA1-12C45D357490}">
          <x15:cacheHierarchy aggregatedColumn="3"/>
        </ext>
      </extLst>
    </cacheHierarchy>
    <cacheHierarchy uniqueName="[Measures].[Sum of Net_Profit]" caption="Sum of Net_Profit" measure="1" displayFolder="" measureGroup="Finance" count="0">
      <extLst>
        <ext xmlns:x15="http://schemas.microsoft.com/office/spreadsheetml/2010/11/main" uri="{B97F6D7D-B522-45F9-BDA1-12C45D357490}">
          <x15:cacheHierarchy aggregatedColumn="6"/>
        </ext>
      </extLst>
    </cacheHierarchy>
    <cacheHierarchy uniqueName="[Measures].[NetProfit]" caption="NetProfit" measure="1" displayFolder="" measureGroup="Finance" count="0"/>
    <cacheHierarchy uniqueName="[Measures].[ROA]" caption="ROA" measure="1" displayFolder="" measureGroup="Finance" count="0"/>
    <cacheHierarchy uniqueName="[Measures].[ROE]" caption="ROE" measure="1" displayFolder="" measureGroup="Finance" count="0"/>
    <cacheHierarchy uniqueName="[Measures].[totalRevenue]" caption="totalRevenue" measure="1" displayFolder="" measureGroup="Finance" count="0" oneField="1">
      <fieldsUsage count="1">
        <fieldUsage x="0"/>
      </fieldsUsage>
    </cacheHierarchy>
    <cacheHierarchy uniqueName="[Measures].[TotalProfit]" caption="TotalProfit" measure="1" displayFolder="" measureGroup="Finance" count="0"/>
    <cacheHierarchy uniqueName="[Measures].[ProfitMargin]" caption="ProfitMargin" measure="1" displayFolder="" measureGroup="Finance" count="0"/>
    <cacheHierarchy uniqueName="[Measures].[__XL_Count Table1]" caption="__XL_Count Table1" measure="1" displayFolder="" measureGroup="Table1"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3">
    <dimension name="Finance" uniqueName="[Finance]" caption="Finance"/>
    <dimension measure="1" name="Measures" uniqueName="[Measures]" caption="Measures"/>
    <dimension name="Table1" uniqueName="[Table1]" caption="Table1"/>
  </dimensions>
  <measureGroups count="2">
    <measureGroup name="Finance" caption="Financ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918499305553" backgroundQuery="1" createdVersion="8" refreshedVersion="8" minRefreshableVersion="3" recordCount="0" supportSubquery="1" supportAdvancedDrill="1" xr:uid="{C0F6C90C-CC99-4233-8C6F-14DE52D91E64}">
  <cacheSource type="external" connectionId="3"/>
  <cacheFields count="2">
    <cacheField name="[Measures].[TotalProfit]" caption="TotalProfit" numFmtId="0" hierarchy="36" level="32767"/>
    <cacheField name="[Finance].[Date (Month)].[Date (Month)]" caption="Date (Month)" numFmtId="0" hierarchy="14" level="1">
      <sharedItems containsSemiMixedTypes="0" containsNonDate="0" containsString="0"/>
    </cacheField>
  </cacheFields>
  <cacheHierarchies count="41">
    <cacheHierarchy uniqueName="[Finance].[Date]" caption="Date" attribute="1" time="1" defaultMemberUniqueName="[Finance].[Date].[All]" allUniqueName="[Finance].[Date].[All]" dimensionUniqueName="[Finance]" displayFolder="" count="0" memberValueDatatype="7" unbalanced="0"/>
    <cacheHierarchy uniqueName="[Finance].[Region]" caption="Region" attribute="1" defaultMemberUniqueName="[Finance].[Region].[All]" allUniqueName="[Finance].[Region].[All]" dimensionUniqueName="[Finance]" displayFolder="" count="0" memberValueDatatype="130" unbalanced="0"/>
    <cacheHierarchy uniqueName="[Finance].[Department]" caption="Department" attribute="1" defaultMemberUniqueName="[Finance].[Department].[All]" allUniqueName="[Finance].[Department].[All]" dimensionUniqueName="[Finance]" displayFolder="" count="0" memberValueDatatype="130" unbalanced="0"/>
    <cacheHierarchy uniqueName="[Finance].[Revenue]" caption="Revenue" attribute="1" defaultMemberUniqueName="[Finance].[Revenue].[All]" allUniqueName="[Finance].[Revenue].[All]" dimensionUniqueName="[Finance]" displayFolder="" count="0" memberValueDatatype="20" unbalanced="0"/>
    <cacheHierarchy uniqueName="[Finance].[Operating_Expenses]" caption="Operating_Expenses" attribute="1" defaultMemberUniqueName="[Finance].[Operating_Expenses].[All]" allUniqueName="[Finance].[Operating_Expenses].[All]" dimensionUniqueName="[Finance]" displayFolder="" count="0" memberValueDatatype="20" unbalanced="0"/>
    <cacheHierarchy uniqueName="[Finance].[Gross_Profit]" caption="Gross_Profit" attribute="1" defaultMemberUniqueName="[Finance].[Gross_Profit].[All]" allUniqueName="[Finance].[Gross_Profit].[All]" dimensionUniqueName="[Finance]" displayFolder="" count="0" memberValueDatatype="20" unbalanced="0"/>
    <cacheHierarchy uniqueName="[Finance].[Net_Profit]" caption="Net_Profit" attribute="1" defaultMemberUniqueName="[Finance].[Net_Profit].[All]" allUniqueName="[Finance].[Net_Profit].[All]" dimensionUniqueName="[Finance]" displayFolder="" count="0" memberValueDatatype="20" unbalanced="0"/>
    <cacheHierarchy uniqueName="[Finance].[Assets]" caption="Assets" attribute="1" defaultMemberUniqueName="[Finance].[Assets].[All]" allUniqueName="[Finance].[Assets].[All]" dimensionUniqueName="[Finance]" displayFolder="" count="0" memberValueDatatype="20" unbalanced="0"/>
    <cacheHierarchy uniqueName="[Finance].[Liabilities]" caption="Liabilities" attribute="1" defaultMemberUniqueName="[Finance].[Liabilities].[All]" allUniqueName="[Finance].[Liabilities].[All]" dimensionUniqueName="[Finance]" displayFolder="" count="0" memberValueDatatype="20" unbalanced="0"/>
    <cacheHierarchy uniqueName="[Finance].[Equity]" caption="Equity" attribute="1" defaultMemberUniqueName="[Finance].[Equity].[All]" allUniqueName="[Finance].[Equity].[All]" dimensionUniqueName="[Finance]" displayFolder="" count="0" memberValueDatatype="20" unbalanced="0"/>
    <cacheHierarchy uniqueName="[Finance].[Cost Efficiency]" caption="Cost Efficiency" attribute="1" defaultMemberUniqueName="[Finance].[Cost Efficiency].[All]" allUniqueName="[Finance].[Cost Efficiency].[All]" dimensionUniqueName="[Finance]" displayFolder="" count="0" memberValueDatatype="5" unbalanced="0"/>
    <cacheHierarchy uniqueName="[Finance].[Date (Year)]" caption="Date (Year)" attribute="1" defaultMemberUniqueName="[Finance].[Date (Year)].[All]" allUniqueName="[Finance].[Date (Year)].[All]" dimensionUniqueName="[Finance]" displayFolder="" count="2" memberValueDatatype="130" unbalanced="0"/>
    <cacheHierarchy uniqueName="[Finance].[Operating Margin]" caption="Operating Margin" attribute="1" defaultMemberUniqueName="[Finance].[Operating Margin].[All]" allUniqueName="[Finance].[Operating Margin].[All]" dimensionUniqueName="[Finance]" displayFolder="" count="0" memberValueDatatype="5" unbalanced="0"/>
    <cacheHierarchy uniqueName="[Finance].[Date (Quarter)]" caption="Date (Quarter)" attribute="1" defaultMemberUniqueName="[Finance].[Date (Quarter)].[All]" allUniqueName="[Finance].[Date (Quarter)].[All]" dimensionUniqueName="[Finance]" displayFolder="" count="0" memberValueDatatype="130" unbalanced="0"/>
    <cacheHierarchy uniqueName="[Finance].[Date (Month)]" caption="Date (Month)" attribute="1" defaultMemberUniqueName="[Finance].[Date (Month)].[All]" allUniqueName="[Finance].[Date (Month)].[All]" dimensionUniqueName="[Finance]" displayFolder="" count="2" memberValueDatatype="130" unbalanced="0">
      <fieldsUsage count="2">
        <fieldUsage x="-1"/>
        <fieldUsage x="1"/>
      </fieldsUsage>
    </cacheHierarchy>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Operating_Expenses]" caption="Operating_Expenses" attribute="1" defaultMemberUniqueName="[Table1].[Operating_Expenses].[All]" allUniqueName="[Table1].[Operating_Expenses].[All]" dimensionUniqueName="[Table1]" displayFolder="" count="0" memberValueDatatype="20" unbalanced="0"/>
    <cacheHierarchy uniqueName="[Table1].[Gross_Profit]" caption="Gross_Profit" attribute="1" defaultMemberUniqueName="[Table1].[Gross_Profit].[All]" allUniqueName="[Table1].[Gross_Profit].[All]" dimensionUniqueName="[Table1]" displayFolder="" count="0" memberValueDatatype="20" unbalanced="0"/>
    <cacheHierarchy uniqueName="[Table1].[Net_Profit]" caption="Net_Profit" attribute="1" defaultMemberUniqueName="[Table1].[Net_Profit].[All]" allUniqueName="[Table1].[Net_Profit].[All]" dimensionUniqueName="[Table1]" displayFolder="" count="0" memberValueDatatype="20" unbalanced="0"/>
    <cacheHierarchy uniqueName="[Table1].[Assets]" caption="Assets" attribute="1" defaultMemberUniqueName="[Table1].[Assets].[All]" allUniqueName="[Table1].[Assets].[All]" dimensionUniqueName="[Table1]" displayFolder="" count="0" memberValueDatatype="20" unbalanced="0"/>
    <cacheHierarchy uniqueName="[Table1].[Liabilities]" caption="Liabilities" attribute="1" defaultMemberUniqueName="[Table1].[Liabilities].[All]" allUniqueName="[Table1].[Liabilities].[All]" dimensionUniqueName="[Table1]" displayFolder="" count="0" memberValueDatatype="20" unbalanced="0"/>
    <cacheHierarchy uniqueName="[Table1].[Equity]" caption="Equity" attribute="1" defaultMemberUniqueName="[Table1].[Equity].[All]" allUniqueName="[Table1].[Equity].[All]" dimensionUniqueName="[Table1]" displayFolder="" count="0" memberValueDatatype="20" unbalanced="0"/>
    <cacheHierarchy uniqueName="[Finance].[Date (Month Index)]" caption="Date (Month Index)" attribute="1" defaultMemberUniqueName="[Finance].[Date (Month Index)].[All]" allUniqueName="[Finance].[Date (Month Index)].[All]" dimensionUniqueName="[Finance]" displayFolder="" count="0" memberValueDatatype="20" unbalanced="0" hidden="1"/>
    <cacheHierarchy uniqueName="[Measures].[Sum of Cost Efficiency]" caption="Sum of Cost Efficiency" measure="1" displayFolder="" measureGroup="Finance" count="0">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Finance" count="0">
      <extLst>
        <ext xmlns:x15="http://schemas.microsoft.com/office/spreadsheetml/2010/11/main" uri="{B97F6D7D-B522-45F9-BDA1-12C45D357490}">
          <x15:cacheHierarchy aggregatedColumn="12"/>
        </ext>
      </extLst>
    </cacheHierarchy>
    <cacheHierarchy uniqueName="[Measures].[Average of Operating Margin]" caption="Average of Operating Margin" measure="1" displayFolder="" measureGroup="Finance" count="0">
      <extLst>
        <ext xmlns:x15="http://schemas.microsoft.com/office/spreadsheetml/2010/11/main" uri="{B97F6D7D-B522-45F9-BDA1-12C45D357490}">
          <x15:cacheHierarchy aggregatedColumn="12"/>
        </ext>
      </extLst>
    </cacheHierarchy>
    <cacheHierarchy uniqueName="[Measures].[Sum of Operating_Expenses]" caption="Sum of Operating_Expenses" measure="1" displayFolder="" measureGroup="Finance" count="0">
      <extLst>
        <ext xmlns:x15="http://schemas.microsoft.com/office/spreadsheetml/2010/11/main" uri="{B97F6D7D-B522-45F9-BDA1-12C45D357490}">
          <x15:cacheHierarchy aggregatedColumn="4"/>
        </ext>
      </extLst>
    </cacheHierarchy>
    <cacheHierarchy uniqueName="[Measures].[Sum of Revenue]" caption="Sum of Revenue" measure="1" displayFolder="" measureGroup="Finance" count="0">
      <extLst>
        <ext xmlns:x15="http://schemas.microsoft.com/office/spreadsheetml/2010/11/main" uri="{B97F6D7D-B522-45F9-BDA1-12C45D357490}">
          <x15:cacheHierarchy aggregatedColumn="3"/>
        </ext>
      </extLst>
    </cacheHierarchy>
    <cacheHierarchy uniqueName="[Measures].[Sum of Net_Profit]" caption="Sum of Net_Profit" measure="1" displayFolder="" measureGroup="Finance" count="0">
      <extLst>
        <ext xmlns:x15="http://schemas.microsoft.com/office/spreadsheetml/2010/11/main" uri="{B97F6D7D-B522-45F9-BDA1-12C45D357490}">
          <x15:cacheHierarchy aggregatedColumn="6"/>
        </ext>
      </extLst>
    </cacheHierarchy>
    <cacheHierarchy uniqueName="[Measures].[NetProfit]" caption="NetProfit" measure="1" displayFolder="" measureGroup="Finance" count="0"/>
    <cacheHierarchy uniqueName="[Measures].[ROA]" caption="ROA" measure="1" displayFolder="" measureGroup="Finance" count="0"/>
    <cacheHierarchy uniqueName="[Measures].[ROE]" caption="ROE" measure="1" displayFolder="" measureGroup="Finance" count="0"/>
    <cacheHierarchy uniqueName="[Measures].[totalRevenue]" caption="totalRevenue" measure="1" displayFolder="" measureGroup="Finance" count="0"/>
    <cacheHierarchy uniqueName="[Measures].[TotalProfit]" caption="TotalProfit" measure="1" displayFolder="" measureGroup="Finance" count="0" oneField="1">
      <fieldsUsage count="1">
        <fieldUsage x="0"/>
      </fieldsUsage>
    </cacheHierarchy>
    <cacheHierarchy uniqueName="[Measures].[ProfitMargin]" caption="ProfitMargin" measure="1" displayFolder="" measureGroup="Finance" count="0"/>
    <cacheHierarchy uniqueName="[Measures].[__XL_Count Table1]" caption="__XL_Count Table1" measure="1" displayFolder="" measureGroup="Table1"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3">
    <dimension name="Finance" uniqueName="[Finance]" caption="Finance"/>
    <dimension measure="1" name="Measures" uniqueName="[Measures]" caption="Measures"/>
    <dimension name="Table1" uniqueName="[Table1]" caption="Table1"/>
  </dimensions>
  <measureGroups count="2">
    <measureGroup name="Finance" caption="Financ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918499537038" backgroundQuery="1" createdVersion="8" refreshedVersion="8" minRefreshableVersion="3" recordCount="0" supportSubquery="1" supportAdvancedDrill="1" xr:uid="{C724B2FE-6D66-4585-9259-7A80F9167953}">
  <cacheSource type="external" connectionId="3"/>
  <cacheFields count="2">
    <cacheField name="[Measures].[ROE]" caption="ROE" numFmtId="0" hierarchy="34" level="32767"/>
    <cacheField name="[Finance].[Date (Month)].[Date (Month)]" caption="Date (Month)" numFmtId="0" hierarchy="14" level="1">
      <sharedItems containsSemiMixedTypes="0" containsNonDate="0" containsString="0"/>
    </cacheField>
  </cacheFields>
  <cacheHierarchies count="41">
    <cacheHierarchy uniqueName="[Finance].[Date]" caption="Date" attribute="1" time="1" defaultMemberUniqueName="[Finance].[Date].[All]" allUniqueName="[Finance].[Date].[All]" dimensionUniqueName="[Finance]" displayFolder="" count="0" memberValueDatatype="7" unbalanced="0"/>
    <cacheHierarchy uniqueName="[Finance].[Region]" caption="Region" attribute="1" defaultMemberUniqueName="[Finance].[Region].[All]" allUniqueName="[Finance].[Region].[All]" dimensionUniqueName="[Finance]" displayFolder="" count="0" memberValueDatatype="130" unbalanced="0"/>
    <cacheHierarchy uniqueName="[Finance].[Department]" caption="Department" attribute="1" defaultMemberUniqueName="[Finance].[Department].[All]" allUniqueName="[Finance].[Department].[All]" dimensionUniqueName="[Finance]" displayFolder="" count="0" memberValueDatatype="130" unbalanced="0"/>
    <cacheHierarchy uniqueName="[Finance].[Revenue]" caption="Revenue" attribute="1" defaultMemberUniqueName="[Finance].[Revenue].[All]" allUniqueName="[Finance].[Revenue].[All]" dimensionUniqueName="[Finance]" displayFolder="" count="0" memberValueDatatype="20" unbalanced="0"/>
    <cacheHierarchy uniqueName="[Finance].[Operating_Expenses]" caption="Operating_Expenses" attribute="1" defaultMemberUniqueName="[Finance].[Operating_Expenses].[All]" allUniqueName="[Finance].[Operating_Expenses].[All]" dimensionUniqueName="[Finance]" displayFolder="" count="0" memberValueDatatype="20" unbalanced="0"/>
    <cacheHierarchy uniqueName="[Finance].[Gross_Profit]" caption="Gross_Profit" attribute="1" defaultMemberUniqueName="[Finance].[Gross_Profit].[All]" allUniqueName="[Finance].[Gross_Profit].[All]" dimensionUniqueName="[Finance]" displayFolder="" count="0" memberValueDatatype="20" unbalanced="0"/>
    <cacheHierarchy uniqueName="[Finance].[Net_Profit]" caption="Net_Profit" attribute="1" defaultMemberUniqueName="[Finance].[Net_Profit].[All]" allUniqueName="[Finance].[Net_Profit].[All]" dimensionUniqueName="[Finance]" displayFolder="" count="0" memberValueDatatype="20" unbalanced="0"/>
    <cacheHierarchy uniqueName="[Finance].[Assets]" caption="Assets" attribute="1" defaultMemberUniqueName="[Finance].[Assets].[All]" allUniqueName="[Finance].[Assets].[All]" dimensionUniqueName="[Finance]" displayFolder="" count="0" memberValueDatatype="20" unbalanced="0"/>
    <cacheHierarchy uniqueName="[Finance].[Liabilities]" caption="Liabilities" attribute="1" defaultMemberUniqueName="[Finance].[Liabilities].[All]" allUniqueName="[Finance].[Liabilities].[All]" dimensionUniqueName="[Finance]" displayFolder="" count="0" memberValueDatatype="20" unbalanced="0"/>
    <cacheHierarchy uniqueName="[Finance].[Equity]" caption="Equity" attribute="1" defaultMemberUniqueName="[Finance].[Equity].[All]" allUniqueName="[Finance].[Equity].[All]" dimensionUniqueName="[Finance]" displayFolder="" count="0" memberValueDatatype="20" unbalanced="0"/>
    <cacheHierarchy uniqueName="[Finance].[Cost Efficiency]" caption="Cost Efficiency" attribute="1" defaultMemberUniqueName="[Finance].[Cost Efficiency].[All]" allUniqueName="[Finance].[Cost Efficiency].[All]" dimensionUniqueName="[Finance]" displayFolder="" count="0" memberValueDatatype="5" unbalanced="0"/>
    <cacheHierarchy uniqueName="[Finance].[Date (Year)]" caption="Date (Year)" attribute="1" defaultMemberUniqueName="[Finance].[Date (Year)].[All]" allUniqueName="[Finance].[Date (Year)].[All]" dimensionUniqueName="[Finance]" displayFolder="" count="2" memberValueDatatype="130" unbalanced="0"/>
    <cacheHierarchy uniqueName="[Finance].[Operating Margin]" caption="Operating Margin" attribute="1" defaultMemberUniqueName="[Finance].[Operating Margin].[All]" allUniqueName="[Finance].[Operating Margin].[All]" dimensionUniqueName="[Finance]" displayFolder="" count="0" memberValueDatatype="5" unbalanced="0"/>
    <cacheHierarchy uniqueName="[Finance].[Date (Quarter)]" caption="Date (Quarter)" attribute="1" defaultMemberUniqueName="[Finance].[Date (Quarter)].[All]" allUniqueName="[Finance].[Date (Quarter)].[All]" dimensionUniqueName="[Finance]" displayFolder="" count="0" memberValueDatatype="130" unbalanced="0"/>
    <cacheHierarchy uniqueName="[Finance].[Date (Month)]" caption="Date (Month)" attribute="1" defaultMemberUniqueName="[Finance].[Date (Month)].[All]" allUniqueName="[Finance].[Date (Month)].[All]" dimensionUniqueName="[Finance]" displayFolder="" count="2" memberValueDatatype="130" unbalanced="0">
      <fieldsUsage count="2">
        <fieldUsage x="-1"/>
        <fieldUsage x="1"/>
      </fieldsUsage>
    </cacheHierarchy>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Operating_Expenses]" caption="Operating_Expenses" attribute="1" defaultMemberUniqueName="[Table1].[Operating_Expenses].[All]" allUniqueName="[Table1].[Operating_Expenses].[All]" dimensionUniqueName="[Table1]" displayFolder="" count="0" memberValueDatatype="20" unbalanced="0"/>
    <cacheHierarchy uniqueName="[Table1].[Gross_Profit]" caption="Gross_Profit" attribute="1" defaultMemberUniqueName="[Table1].[Gross_Profit].[All]" allUniqueName="[Table1].[Gross_Profit].[All]" dimensionUniqueName="[Table1]" displayFolder="" count="0" memberValueDatatype="20" unbalanced="0"/>
    <cacheHierarchy uniqueName="[Table1].[Net_Profit]" caption="Net_Profit" attribute="1" defaultMemberUniqueName="[Table1].[Net_Profit].[All]" allUniqueName="[Table1].[Net_Profit].[All]" dimensionUniqueName="[Table1]" displayFolder="" count="0" memberValueDatatype="20" unbalanced="0"/>
    <cacheHierarchy uniqueName="[Table1].[Assets]" caption="Assets" attribute="1" defaultMemberUniqueName="[Table1].[Assets].[All]" allUniqueName="[Table1].[Assets].[All]" dimensionUniqueName="[Table1]" displayFolder="" count="0" memberValueDatatype="20" unbalanced="0"/>
    <cacheHierarchy uniqueName="[Table1].[Liabilities]" caption="Liabilities" attribute="1" defaultMemberUniqueName="[Table1].[Liabilities].[All]" allUniqueName="[Table1].[Liabilities].[All]" dimensionUniqueName="[Table1]" displayFolder="" count="0" memberValueDatatype="20" unbalanced="0"/>
    <cacheHierarchy uniqueName="[Table1].[Equity]" caption="Equity" attribute="1" defaultMemberUniqueName="[Table1].[Equity].[All]" allUniqueName="[Table1].[Equity].[All]" dimensionUniqueName="[Table1]" displayFolder="" count="0" memberValueDatatype="20" unbalanced="0"/>
    <cacheHierarchy uniqueName="[Finance].[Date (Month Index)]" caption="Date (Month Index)" attribute="1" defaultMemberUniqueName="[Finance].[Date (Month Index)].[All]" allUniqueName="[Finance].[Date (Month Index)].[All]" dimensionUniqueName="[Finance]" displayFolder="" count="0" memberValueDatatype="20" unbalanced="0" hidden="1"/>
    <cacheHierarchy uniqueName="[Measures].[Sum of Cost Efficiency]" caption="Sum of Cost Efficiency" measure="1" displayFolder="" measureGroup="Finance" count="0">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Finance" count="0">
      <extLst>
        <ext xmlns:x15="http://schemas.microsoft.com/office/spreadsheetml/2010/11/main" uri="{B97F6D7D-B522-45F9-BDA1-12C45D357490}">
          <x15:cacheHierarchy aggregatedColumn="12"/>
        </ext>
      </extLst>
    </cacheHierarchy>
    <cacheHierarchy uniqueName="[Measures].[Average of Operating Margin]" caption="Average of Operating Margin" measure="1" displayFolder="" measureGroup="Finance" count="0">
      <extLst>
        <ext xmlns:x15="http://schemas.microsoft.com/office/spreadsheetml/2010/11/main" uri="{B97F6D7D-B522-45F9-BDA1-12C45D357490}">
          <x15:cacheHierarchy aggregatedColumn="12"/>
        </ext>
      </extLst>
    </cacheHierarchy>
    <cacheHierarchy uniqueName="[Measures].[Sum of Operating_Expenses]" caption="Sum of Operating_Expenses" measure="1" displayFolder="" measureGroup="Finance" count="0">
      <extLst>
        <ext xmlns:x15="http://schemas.microsoft.com/office/spreadsheetml/2010/11/main" uri="{B97F6D7D-B522-45F9-BDA1-12C45D357490}">
          <x15:cacheHierarchy aggregatedColumn="4"/>
        </ext>
      </extLst>
    </cacheHierarchy>
    <cacheHierarchy uniqueName="[Measures].[Sum of Revenue]" caption="Sum of Revenue" measure="1" displayFolder="" measureGroup="Finance" count="0">
      <extLst>
        <ext xmlns:x15="http://schemas.microsoft.com/office/spreadsheetml/2010/11/main" uri="{B97F6D7D-B522-45F9-BDA1-12C45D357490}">
          <x15:cacheHierarchy aggregatedColumn="3"/>
        </ext>
      </extLst>
    </cacheHierarchy>
    <cacheHierarchy uniqueName="[Measures].[Sum of Net_Profit]" caption="Sum of Net_Profit" measure="1" displayFolder="" measureGroup="Finance" count="0">
      <extLst>
        <ext xmlns:x15="http://schemas.microsoft.com/office/spreadsheetml/2010/11/main" uri="{B97F6D7D-B522-45F9-BDA1-12C45D357490}">
          <x15:cacheHierarchy aggregatedColumn="6"/>
        </ext>
      </extLst>
    </cacheHierarchy>
    <cacheHierarchy uniqueName="[Measures].[NetProfit]" caption="NetProfit" measure="1" displayFolder="" measureGroup="Finance" count="0"/>
    <cacheHierarchy uniqueName="[Measures].[ROA]" caption="ROA" measure="1" displayFolder="" measureGroup="Finance" count="0"/>
    <cacheHierarchy uniqueName="[Measures].[ROE]" caption="ROE" measure="1" displayFolder="" measureGroup="Finance" count="0" oneField="1">
      <fieldsUsage count="1">
        <fieldUsage x="0"/>
      </fieldsUsage>
    </cacheHierarchy>
    <cacheHierarchy uniqueName="[Measures].[totalRevenue]" caption="totalRevenue" measure="1" displayFolder="" measureGroup="Finance" count="0"/>
    <cacheHierarchy uniqueName="[Measures].[TotalProfit]" caption="TotalProfit" measure="1" displayFolder="" measureGroup="Finance" count="0"/>
    <cacheHierarchy uniqueName="[Measures].[ProfitMargin]" caption="ProfitMargin" measure="1" displayFolder="" measureGroup="Finance" count="0"/>
    <cacheHierarchy uniqueName="[Measures].[__XL_Count Table1]" caption="__XL_Count Table1" measure="1" displayFolder="" measureGroup="Table1"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3">
    <dimension name="Finance" uniqueName="[Finance]" caption="Finance"/>
    <dimension measure="1" name="Measures" uniqueName="[Measures]" caption="Measures"/>
    <dimension name="Table1" uniqueName="[Table1]" caption="Table1"/>
  </dimensions>
  <measureGroups count="2">
    <measureGroup name="Finance" caption="Financ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918499768515" backgroundQuery="1" createdVersion="8" refreshedVersion="8" minRefreshableVersion="3" recordCount="0" supportSubquery="1" supportAdvancedDrill="1" xr:uid="{608F5AF0-F22D-4498-AC53-34836DAFFDE2}">
  <cacheSource type="external" connectionId="3"/>
  <cacheFields count="2">
    <cacheField name="[Measures].[ROA]" caption="ROA" numFmtId="0" hierarchy="33" level="32767"/>
    <cacheField name="[Finance].[Date (Month)].[Date (Month)]" caption="Date (Month)" numFmtId="0" hierarchy="14" level="1">
      <sharedItems containsSemiMixedTypes="0" containsNonDate="0" containsString="0"/>
    </cacheField>
  </cacheFields>
  <cacheHierarchies count="41">
    <cacheHierarchy uniqueName="[Finance].[Date]" caption="Date" attribute="1" time="1" defaultMemberUniqueName="[Finance].[Date].[All]" allUniqueName="[Finance].[Date].[All]" dimensionUniqueName="[Finance]" displayFolder="" count="0" memberValueDatatype="7" unbalanced="0"/>
    <cacheHierarchy uniqueName="[Finance].[Region]" caption="Region" attribute="1" defaultMemberUniqueName="[Finance].[Region].[All]" allUniqueName="[Finance].[Region].[All]" dimensionUniqueName="[Finance]" displayFolder="" count="0" memberValueDatatype="130" unbalanced="0"/>
    <cacheHierarchy uniqueName="[Finance].[Department]" caption="Department" attribute="1" defaultMemberUniqueName="[Finance].[Department].[All]" allUniqueName="[Finance].[Department].[All]" dimensionUniqueName="[Finance]" displayFolder="" count="0" memberValueDatatype="130" unbalanced="0"/>
    <cacheHierarchy uniqueName="[Finance].[Revenue]" caption="Revenue" attribute="1" defaultMemberUniqueName="[Finance].[Revenue].[All]" allUniqueName="[Finance].[Revenue].[All]" dimensionUniqueName="[Finance]" displayFolder="" count="0" memberValueDatatype="20" unbalanced="0"/>
    <cacheHierarchy uniqueName="[Finance].[Operating_Expenses]" caption="Operating_Expenses" attribute="1" defaultMemberUniqueName="[Finance].[Operating_Expenses].[All]" allUniqueName="[Finance].[Operating_Expenses].[All]" dimensionUniqueName="[Finance]" displayFolder="" count="0" memberValueDatatype="20" unbalanced="0"/>
    <cacheHierarchy uniqueName="[Finance].[Gross_Profit]" caption="Gross_Profit" attribute="1" defaultMemberUniqueName="[Finance].[Gross_Profit].[All]" allUniqueName="[Finance].[Gross_Profit].[All]" dimensionUniqueName="[Finance]" displayFolder="" count="0" memberValueDatatype="20" unbalanced="0"/>
    <cacheHierarchy uniqueName="[Finance].[Net_Profit]" caption="Net_Profit" attribute="1" defaultMemberUniqueName="[Finance].[Net_Profit].[All]" allUniqueName="[Finance].[Net_Profit].[All]" dimensionUniqueName="[Finance]" displayFolder="" count="0" memberValueDatatype="20" unbalanced="0"/>
    <cacheHierarchy uniqueName="[Finance].[Assets]" caption="Assets" attribute="1" defaultMemberUniqueName="[Finance].[Assets].[All]" allUniqueName="[Finance].[Assets].[All]" dimensionUniqueName="[Finance]" displayFolder="" count="0" memberValueDatatype="20" unbalanced="0"/>
    <cacheHierarchy uniqueName="[Finance].[Liabilities]" caption="Liabilities" attribute="1" defaultMemberUniqueName="[Finance].[Liabilities].[All]" allUniqueName="[Finance].[Liabilities].[All]" dimensionUniqueName="[Finance]" displayFolder="" count="0" memberValueDatatype="20" unbalanced="0"/>
    <cacheHierarchy uniqueName="[Finance].[Equity]" caption="Equity" attribute="1" defaultMemberUniqueName="[Finance].[Equity].[All]" allUniqueName="[Finance].[Equity].[All]" dimensionUniqueName="[Finance]" displayFolder="" count="0" memberValueDatatype="20" unbalanced="0"/>
    <cacheHierarchy uniqueName="[Finance].[Cost Efficiency]" caption="Cost Efficiency" attribute="1" defaultMemberUniqueName="[Finance].[Cost Efficiency].[All]" allUniqueName="[Finance].[Cost Efficiency].[All]" dimensionUniqueName="[Finance]" displayFolder="" count="0" memberValueDatatype="5" unbalanced="0"/>
    <cacheHierarchy uniqueName="[Finance].[Date (Year)]" caption="Date (Year)" attribute="1" defaultMemberUniqueName="[Finance].[Date (Year)].[All]" allUniqueName="[Finance].[Date (Year)].[All]" dimensionUniqueName="[Finance]" displayFolder="" count="2" memberValueDatatype="130" unbalanced="0"/>
    <cacheHierarchy uniqueName="[Finance].[Operating Margin]" caption="Operating Margin" attribute="1" defaultMemberUniqueName="[Finance].[Operating Margin].[All]" allUniqueName="[Finance].[Operating Margin].[All]" dimensionUniqueName="[Finance]" displayFolder="" count="0" memberValueDatatype="5" unbalanced="0"/>
    <cacheHierarchy uniqueName="[Finance].[Date (Quarter)]" caption="Date (Quarter)" attribute="1" defaultMemberUniqueName="[Finance].[Date (Quarter)].[All]" allUniqueName="[Finance].[Date (Quarter)].[All]" dimensionUniqueName="[Finance]" displayFolder="" count="0" memberValueDatatype="130" unbalanced="0"/>
    <cacheHierarchy uniqueName="[Finance].[Date (Month)]" caption="Date (Month)" attribute="1" defaultMemberUniqueName="[Finance].[Date (Month)].[All]" allUniqueName="[Finance].[Date (Month)].[All]" dimensionUniqueName="[Finance]" displayFolder="" count="2" memberValueDatatype="130" unbalanced="0">
      <fieldsUsage count="2">
        <fieldUsage x="-1"/>
        <fieldUsage x="1"/>
      </fieldsUsage>
    </cacheHierarchy>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Operating_Expenses]" caption="Operating_Expenses" attribute="1" defaultMemberUniqueName="[Table1].[Operating_Expenses].[All]" allUniqueName="[Table1].[Operating_Expenses].[All]" dimensionUniqueName="[Table1]" displayFolder="" count="0" memberValueDatatype="20" unbalanced="0"/>
    <cacheHierarchy uniqueName="[Table1].[Gross_Profit]" caption="Gross_Profit" attribute="1" defaultMemberUniqueName="[Table1].[Gross_Profit].[All]" allUniqueName="[Table1].[Gross_Profit].[All]" dimensionUniqueName="[Table1]" displayFolder="" count="0" memberValueDatatype="20" unbalanced="0"/>
    <cacheHierarchy uniqueName="[Table1].[Net_Profit]" caption="Net_Profit" attribute="1" defaultMemberUniqueName="[Table1].[Net_Profit].[All]" allUniqueName="[Table1].[Net_Profit].[All]" dimensionUniqueName="[Table1]" displayFolder="" count="0" memberValueDatatype="20" unbalanced="0"/>
    <cacheHierarchy uniqueName="[Table1].[Assets]" caption="Assets" attribute="1" defaultMemberUniqueName="[Table1].[Assets].[All]" allUniqueName="[Table1].[Assets].[All]" dimensionUniqueName="[Table1]" displayFolder="" count="0" memberValueDatatype="20" unbalanced="0"/>
    <cacheHierarchy uniqueName="[Table1].[Liabilities]" caption="Liabilities" attribute="1" defaultMemberUniqueName="[Table1].[Liabilities].[All]" allUniqueName="[Table1].[Liabilities].[All]" dimensionUniqueName="[Table1]" displayFolder="" count="0" memberValueDatatype="20" unbalanced="0"/>
    <cacheHierarchy uniqueName="[Table1].[Equity]" caption="Equity" attribute="1" defaultMemberUniqueName="[Table1].[Equity].[All]" allUniqueName="[Table1].[Equity].[All]" dimensionUniqueName="[Table1]" displayFolder="" count="0" memberValueDatatype="20" unbalanced="0"/>
    <cacheHierarchy uniqueName="[Finance].[Date (Month Index)]" caption="Date (Month Index)" attribute="1" defaultMemberUniqueName="[Finance].[Date (Month Index)].[All]" allUniqueName="[Finance].[Date (Month Index)].[All]" dimensionUniqueName="[Finance]" displayFolder="" count="0" memberValueDatatype="20" unbalanced="0" hidden="1"/>
    <cacheHierarchy uniqueName="[Measures].[Sum of Cost Efficiency]" caption="Sum of Cost Efficiency" measure="1" displayFolder="" measureGroup="Finance" count="0">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Finance" count="0">
      <extLst>
        <ext xmlns:x15="http://schemas.microsoft.com/office/spreadsheetml/2010/11/main" uri="{B97F6D7D-B522-45F9-BDA1-12C45D357490}">
          <x15:cacheHierarchy aggregatedColumn="12"/>
        </ext>
      </extLst>
    </cacheHierarchy>
    <cacheHierarchy uniqueName="[Measures].[Average of Operating Margin]" caption="Average of Operating Margin" measure="1" displayFolder="" measureGroup="Finance" count="0">
      <extLst>
        <ext xmlns:x15="http://schemas.microsoft.com/office/spreadsheetml/2010/11/main" uri="{B97F6D7D-B522-45F9-BDA1-12C45D357490}">
          <x15:cacheHierarchy aggregatedColumn="12"/>
        </ext>
      </extLst>
    </cacheHierarchy>
    <cacheHierarchy uniqueName="[Measures].[Sum of Operating_Expenses]" caption="Sum of Operating_Expenses" measure="1" displayFolder="" measureGroup="Finance" count="0">
      <extLst>
        <ext xmlns:x15="http://schemas.microsoft.com/office/spreadsheetml/2010/11/main" uri="{B97F6D7D-B522-45F9-BDA1-12C45D357490}">
          <x15:cacheHierarchy aggregatedColumn="4"/>
        </ext>
      </extLst>
    </cacheHierarchy>
    <cacheHierarchy uniqueName="[Measures].[Sum of Revenue]" caption="Sum of Revenue" measure="1" displayFolder="" measureGroup="Finance" count="0">
      <extLst>
        <ext xmlns:x15="http://schemas.microsoft.com/office/spreadsheetml/2010/11/main" uri="{B97F6D7D-B522-45F9-BDA1-12C45D357490}">
          <x15:cacheHierarchy aggregatedColumn="3"/>
        </ext>
      </extLst>
    </cacheHierarchy>
    <cacheHierarchy uniqueName="[Measures].[Sum of Net_Profit]" caption="Sum of Net_Profit" measure="1" displayFolder="" measureGroup="Finance" count="0">
      <extLst>
        <ext xmlns:x15="http://schemas.microsoft.com/office/spreadsheetml/2010/11/main" uri="{B97F6D7D-B522-45F9-BDA1-12C45D357490}">
          <x15:cacheHierarchy aggregatedColumn="6"/>
        </ext>
      </extLst>
    </cacheHierarchy>
    <cacheHierarchy uniqueName="[Measures].[NetProfit]" caption="NetProfit" measure="1" displayFolder="" measureGroup="Finance" count="0"/>
    <cacheHierarchy uniqueName="[Measures].[ROA]" caption="ROA" measure="1" displayFolder="" measureGroup="Finance" count="0" oneField="1">
      <fieldsUsage count="1">
        <fieldUsage x="0"/>
      </fieldsUsage>
    </cacheHierarchy>
    <cacheHierarchy uniqueName="[Measures].[ROE]" caption="ROE" measure="1" displayFolder="" measureGroup="Finance" count="0"/>
    <cacheHierarchy uniqueName="[Measures].[totalRevenue]" caption="totalRevenue" measure="1" displayFolder="" measureGroup="Finance" count="0"/>
    <cacheHierarchy uniqueName="[Measures].[TotalProfit]" caption="TotalProfit" measure="1" displayFolder="" measureGroup="Finance" count="0"/>
    <cacheHierarchy uniqueName="[Measures].[ProfitMargin]" caption="ProfitMargin" measure="1" displayFolder="" measureGroup="Finance" count="0"/>
    <cacheHierarchy uniqueName="[Measures].[__XL_Count Table1]" caption="__XL_Count Table1" measure="1" displayFolder="" measureGroup="Table1"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3">
    <dimension name="Finance" uniqueName="[Finance]" caption="Finance"/>
    <dimension measure="1" name="Measures" uniqueName="[Measures]" caption="Measures"/>
    <dimension name="Table1" uniqueName="[Table1]" caption="Table1"/>
  </dimensions>
  <measureGroups count="2">
    <measureGroup name="Finance" caption="Financ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918500115738" backgroundQuery="1" createdVersion="8" refreshedVersion="8" minRefreshableVersion="3" recordCount="0" supportSubquery="1" supportAdvancedDrill="1" xr:uid="{EC397499-0CD8-43CC-9D00-26C6F71B43AD}">
  <cacheSource type="external" connectionId="3"/>
  <cacheFields count="2">
    <cacheField name="[Measures].[ProfitMargin]" caption="ProfitMargin" numFmtId="0" hierarchy="37" level="32767"/>
    <cacheField name="[Finance].[Date (Month)].[Date (Month)]" caption="Date (Month)" numFmtId="0" hierarchy="14" level="1">
      <sharedItems containsSemiMixedTypes="0" containsNonDate="0" containsString="0"/>
    </cacheField>
  </cacheFields>
  <cacheHierarchies count="41">
    <cacheHierarchy uniqueName="[Finance].[Date]" caption="Date" attribute="1" time="1" defaultMemberUniqueName="[Finance].[Date].[All]" allUniqueName="[Finance].[Date].[All]" dimensionUniqueName="[Finance]" displayFolder="" count="0" memberValueDatatype="7" unbalanced="0"/>
    <cacheHierarchy uniqueName="[Finance].[Region]" caption="Region" attribute="1" defaultMemberUniqueName="[Finance].[Region].[All]" allUniqueName="[Finance].[Region].[All]" dimensionUniqueName="[Finance]" displayFolder="" count="0" memberValueDatatype="130" unbalanced="0"/>
    <cacheHierarchy uniqueName="[Finance].[Department]" caption="Department" attribute="1" defaultMemberUniqueName="[Finance].[Department].[All]" allUniqueName="[Finance].[Department].[All]" dimensionUniqueName="[Finance]" displayFolder="" count="0" memberValueDatatype="130" unbalanced="0"/>
    <cacheHierarchy uniqueName="[Finance].[Revenue]" caption="Revenue" attribute="1" defaultMemberUniqueName="[Finance].[Revenue].[All]" allUniqueName="[Finance].[Revenue].[All]" dimensionUniqueName="[Finance]" displayFolder="" count="0" memberValueDatatype="20" unbalanced="0"/>
    <cacheHierarchy uniqueName="[Finance].[Operating_Expenses]" caption="Operating_Expenses" attribute="1" defaultMemberUniqueName="[Finance].[Operating_Expenses].[All]" allUniqueName="[Finance].[Operating_Expenses].[All]" dimensionUniqueName="[Finance]" displayFolder="" count="0" memberValueDatatype="20" unbalanced="0"/>
    <cacheHierarchy uniqueName="[Finance].[Gross_Profit]" caption="Gross_Profit" attribute="1" defaultMemberUniqueName="[Finance].[Gross_Profit].[All]" allUniqueName="[Finance].[Gross_Profit].[All]" dimensionUniqueName="[Finance]" displayFolder="" count="0" memberValueDatatype="20" unbalanced="0"/>
    <cacheHierarchy uniqueName="[Finance].[Net_Profit]" caption="Net_Profit" attribute="1" defaultMemberUniqueName="[Finance].[Net_Profit].[All]" allUniqueName="[Finance].[Net_Profit].[All]" dimensionUniqueName="[Finance]" displayFolder="" count="0" memberValueDatatype="20" unbalanced="0"/>
    <cacheHierarchy uniqueName="[Finance].[Assets]" caption="Assets" attribute="1" defaultMemberUniqueName="[Finance].[Assets].[All]" allUniqueName="[Finance].[Assets].[All]" dimensionUniqueName="[Finance]" displayFolder="" count="0" memberValueDatatype="20" unbalanced="0"/>
    <cacheHierarchy uniqueName="[Finance].[Liabilities]" caption="Liabilities" attribute="1" defaultMemberUniqueName="[Finance].[Liabilities].[All]" allUniqueName="[Finance].[Liabilities].[All]" dimensionUniqueName="[Finance]" displayFolder="" count="0" memberValueDatatype="20" unbalanced="0"/>
    <cacheHierarchy uniqueName="[Finance].[Equity]" caption="Equity" attribute="1" defaultMemberUniqueName="[Finance].[Equity].[All]" allUniqueName="[Finance].[Equity].[All]" dimensionUniqueName="[Finance]" displayFolder="" count="0" memberValueDatatype="20" unbalanced="0"/>
    <cacheHierarchy uniqueName="[Finance].[Cost Efficiency]" caption="Cost Efficiency" attribute="1" defaultMemberUniqueName="[Finance].[Cost Efficiency].[All]" allUniqueName="[Finance].[Cost Efficiency].[All]" dimensionUniqueName="[Finance]" displayFolder="" count="0" memberValueDatatype="5" unbalanced="0"/>
    <cacheHierarchy uniqueName="[Finance].[Date (Year)]" caption="Date (Year)" attribute="1" defaultMemberUniqueName="[Finance].[Date (Year)].[All]" allUniqueName="[Finance].[Date (Year)].[All]" dimensionUniqueName="[Finance]" displayFolder="" count="2" memberValueDatatype="130" unbalanced="0"/>
    <cacheHierarchy uniqueName="[Finance].[Operating Margin]" caption="Operating Margin" attribute="1" defaultMemberUniqueName="[Finance].[Operating Margin].[All]" allUniqueName="[Finance].[Operating Margin].[All]" dimensionUniqueName="[Finance]" displayFolder="" count="0" memberValueDatatype="5" unbalanced="0"/>
    <cacheHierarchy uniqueName="[Finance].[Date (Quarter)]" caption="Date (Quarter)" attribute="1" defaultMemberUniqueName="[Finance].[Date (Quarter)].[All]" allUniqueName="[Finance].[Date (Quarter)].[All]" dimensionUniqueName="[Finance]" displayFolder="" count="0" memberValueDatatype="130" unbalanced="0"/>
    <cacheHierarchy uniqueName="[Finance].[Date (Month)]" caption="Date (Month)" attribute="1" defaultMemberUniqueName="[Finance].[Date (Month)].[All]" allUniqueName="[Finance].[Date (Month)].[All]" dimensionUniqueName="[Finance]" displayFolder="" count="2" memberValueDatatype="130" unbalanced="0">
      <fieldsUsage count="2">
        <fieldUsage x="-1"/>
        <fieldUsage x="1"/>
      </fieldsUsage>
    </cacheHierarchy>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Operating_Expenses]" caption="Operating_Expenses" attribute="1" defaultMemberUniqueName="[Table1].[Operating_Expenses].[All]" allUniqueName="[Table1].[Operating_Expenses].[All]" dimensionUniqueName="[Table1]" displayFolder="" count="0" memberValueDatatype="20" unbalanced="0"/>
    <cacheHierarchy uniqueName="[Table1].[Gross_Profit]" caption="Gross_Profit" attribute="1" defaultMemberUniqueName="[Table1].[Gross_Profit].[All]" allUniqueName="[Table1].[Gross_Profit].[All]" dimensionUniqueName="[Table1]" displayFolder="" count="0" memberValueDatatype="20" unbalanced="0"/>
    <cacheHierarchy uniqueName="[Table1].[Net_Profit]" caption="Net_Profit" attribute="1" defaultMemberUniqueName="[Table1].[Net_Profit].[All]" allUniqueName="[Table1].[Net_Profit].[All]" dimensionUniqueName="[Table1]" displayFolder="" count="0" memberValueDatatype="20" unbalanced="0"/>
    <cacheHierarchy uniqueName="[Table1].[Assets]" caption="Assets" attribute="1" defaultMemberUniqueName="[Table1].[Assets].[All]" allUniqueName="[Table1].[Assets].[All]" dimensionUniqueName="[Table1]" displayFolder="" count="0" memberValueDatatype="20" unbalanced="0"/>
    <cacheHierarchy uniqueName="[Table1].[Liabilities]" caption="Liabilities" attribute="1" defaultMemberUniqueName="[Table1].[Liabilities].[All]" allUniqueName="[Table1].[Liabilities].[All]" dimensionUniqueName="[Table1]" displayFolder="" count="0" memberValueDatatype="20" unbalanced="0"/>
    <cacheHierarchy uniqueName="[Table1].[Equity]" caption="Equity" attribute="1" defaultMemberUniqueName="[Table1].[Equity].[All]" allUniqueName="[Table1].[Equity].[All]" dimensionUniqueName="[Table1]" displayFolder="" count="0" memberValueDatatype="20" unbalanced="0"/>
    <cacheHierarchy uniqueName="[Finance].[Date (Month Index)]" caption="Date (Month Index)" attribute="1" defaultMemberUniqueName="[Finance].[Date (Month Index)].[All]" allUniqueName="[Finance].[Date (Month Index)].[All]" dimensionUniqueName="[Finance]" displayFolder="" count="0" memberValueDatatype="20" unbalanced="0" hidden="1"/>
    <cacheHierarchy uniqueName="[Measures].[Sum of Cost Efficiency]" caption="Sum of Cost Efficiency" measure="1" displayFolder="" measureGroup="Finance" count="0">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Finance" count="0">
      <extLst>
        <ext xmlns:x15="http://schemas.microsoft.com/office/spreadsheetml/2010/11/main" uri="{B97F6D7D-B522-45F9-BDA1-12C45D357490}">
          <x15:cacheHierarchy aggregatedColumn="12"/>
        </ext>
      </extLst>
    </cacheHierarchy>
    <cacheHierarchy uniqueName="[Measures].[Average of Operating Margin]" caption="Average of Operating Margin" measure="1" displayFolder="" measureGroup="Finance" count="0">
      <extLst>
        <ext xmlns:x15="http://schemas.microsoft.com/office/spreadsheetml/2010/11/main" uri="{B97F6D7D-B522-45F9-BDA1-12C45D357490}">
          <x15:cacheHierarchy aggregatedColumn="12"/>
        </ext>
      </extLst>
    </cacheHierarchy>
    <cacheHierarchy uniqueName="[Measures].[Sum of Operating_Expenses]" caption="Sum of Operating_Expenses" measure="1" displayFolder="" measureGroup="Finance" count="0">
      <extLst>
        <ext xmlns:x15="http://schemas.microsoft.com/office/spreadsheetml/2010/11/main" uri="{B97F6D7D-B522-45F9-BDA1-12C45D357490}">
          <x15:cacheHierarchy aggregatedColumn="4"/>
        </ext>
      </extLst>
    </cacheHierarchy>
    <cacheHierarchy uniqueName="[Measures].[Sum of Revenue]" caption="Sum of Revenue" measure="1" displayFolder="" measureGroup="Finance" count="0">
      <extLst>
        <ext xmlns:x15="http://schemas.microsoft.com/office/spreadsheetml/2010/11/main" uri="{B97F6D7D-B522-45F9-BDA1-12C45D357490}">
          <x15:cacheHierarchy aggregatedColumn="3"/>
        </ext>
      </extLst>
    </cacheHierarchy>
    <cacheHierarchy uniqueName="[Measures].[Sum of Net_Profit]" caption="Sum of Net_Profit" measure="1" displayFolder="" measureGroup="Finance" count="0">
      <extLst>
        <ext xmlns:x15="http://schemas.microsoft.com/office/spreadsheetml/2010/11/main" uri="{B97F6D7D-B522-45F9-BDA1-12C45D357490}">
          <x15:cacheHierarchy aggregatedColumn="6"/>
        </ext>
      </extLst>
    </cacheHierarchy>
    <cacheHierarchy uniqueName="[Measures].[NetProfit]" caption="NetProfit" measure="1" displayFolder="" measureGroup="Finance" count="0"/>
    <cacheHierarchy uniqueName="[Measures].[ROA]" caption="ROA" measure="1" displayFolder="" measureGroup="Finance" count="0"/>
    <cacheHierarchy uniqueName="[Measures].[ROE]" caption="ROE" measure="1" displayFolder="" measureGroup="Finance" count="0"/>
    <cacheHierarchy uniqueName="[Measures].[totalRevenue]" caption="totalRevenue" measure="1" displayFolder="" measureGroup="Finance" count="0"/>
    <cacheHierarchy uniqueName="[Measures].[TotalProfit]" caption="TotalProfit" measure="1" displayFolder="" measureGroup="Finance" count="0"/>
    <cacheHierarchy uniqueName="[Measures].[ProfitMargin]" caption="ProfitMargin" measure="1" displayFolder="" measureGroup="Finance" count="0" oneField="1">
      <fieldsUsage count="1">
        <fieldUsage x="0"/>
      </fieldsUsage>
    </cacheHierarchy>
    <cacheHierarchy uniqueName="[Measures].[__XL_Count Table1]" caption="__XL_Count Table1" measure="1" displayFolder="" measureGroup="Table1"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3">
    <dimension name="Finance" uniqueName="[Finance]" caption="Finance"/>
    <dimension measure="1" name="Measures" uniqueName="[Measures]" caption="Measures"/>
    <dimension name="Table1" uniqueName="[Table1]" caption="Table1"/>
  </dimensions>
  <measureGroups count="2">
    <measureGroup name="Finance" caption="Financ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918500810185" backgroundQuery="1" createdVersion="8" refreshedVersion="8" minRefreshableVersion="3" recordCount="0" supportSubquery="1" supportAdvancedDrill="1" xr:uid="{403C7DD5-3FF2-4567-A27C-0CC91C95A60A}">
  <cacheSource type="external" connectionId="3"/>
  <cacheFields count="3">
    <cacheField name="[Finance].[Date (Year)].[Date (Year)]" caption="Date (Year)" numFmtId="0" hierarchy="11" level="1">
      <sharedItems count="5">
        <s v="2018"/>
        <s v="2019"/>
        <s v="2020"/>
        <s v="2021"/>
        <s v="2022"/>
      </sharedItems>
    </cacheField>
    <cacheField name="[Measures].[Sum of Revenue]" caption="Sum of Revenue" numFmtId="0" hierarchy="30" level="32767"/>
    <cacheField name="[Finance].[Date (Month)].[Date (Month)]" caption="Date (Month)" numFmtId="0" hierarchy="14" level="1">
      <sharedItems containsSemiMixedTypes="0" containsNonDate="0" containsString="0"/>
    </cacheField>
  </cacheFields>
  <cacheHierarchies count="41">
    <cacheHierarchy uniqueName="[Finance].[Date]" caption="Date" attribute="1" time="1" defaultMemberUniqueName="[Finance].[Date].[All]" allUniqueName="[Finance].[Date].[All]" dimensionUniqueName="[Finance]" displayFolder="" count="0" memberValueDatatype="7" unbalanced="0"/>
    <cacheHierarchy uniqueName="[Finance].[Region]" caption="Region" attribute="1" defaultMemberUniqueName="[Finance].[Region].[All]" allUniqueName="[Finance].[Region].[All]" dimensionUniqueName="[Finance]" displayFolder="" count="0" memberValueDatatype="130" unbalanced="0"/>
    <cacheHierarchy uniqueName="[Finance].[Department]" caption="Department" attribute="1" defaultMemberUniqueName="[Finance].[Department].[All]" allUniqueName="[Finance].[Department].[All]" dimensionUniqueName="[Finance]" displayFolder="" count="0" memberValueDatatype="130" unbalanced="0"/>
    <cacheHierarchy uniqueName="[Finance].[Revenue]" caption="Revenue" attribute="1" defaultMemberUniqueName="[Finance].[Revenue].[All]" allUniqueName="[Finance].[Revenue].[All]" dimensionUniqueName="[Finance]" displayFolder="" count="0" memberValueDatatype="20" unbalanced="0"/>
    <cacheHierarchy uniqueName="[Finance].[Operating_Expenses]" caption="Operating_Expenses" attribute="1" defaultMemberUniqueName="[Finance].[Operating_Expenses].[All]" allUniqueName="[Finance].[Operating_Expenses].[All]" dimensionUniqueName="[Finance]" displayFolder="" count="0" memberValueDatatype="20" unbalanced="0"/>
    <cacheHierarchy uniqueName="[Finance].[Gross_Profit]" caption="Gross_Profit" attribute="1" defaultMemberUniqueName="[Finance].[Gross_Profit].[All]" allUniqueName="[Finance].[Gross_Profit].[All]" dimensionUniqueName="[Finance]" displayFolder="" count="0" memberValueDatatype="20" unbalanced="0"/>
    <cacheHierarchy uniqueName="[Finance].[Net_Profit]" caption="Net_Profit" attribute="1" defaultMemberUniqueName="[Finance].[Net_Profit].[All]" allUniqueName="[Finance].[Net_Profit].[All]" dimensionUniqueName="[Finance]" displayFolder="" count="0" memberValueDatatype="20" unbalanced="0"/>
    <cacheHierarchy uniqueName="[Finance].[Assets]" caption="Assets" attribute="1" defaultMemberUniqueName="[Finance].[Assets].[All]" allUniqueName="[Finance].[Assets].[All]" dimensionUniqueName="[Finance]" displayFolder="" count="0" memberValueDatatype="20" unbalanced="0"/>
    <cacheHierarchy uniqueName="[Finance].[Liabilities]" caption="Liabilities" attribute="1" defaultMemberUniqueName="[Finance].[Liabilities].[All]" allUniqueName="[Finance].[Liabilities].[All]" dimensionUniqueName="[Finance]" displayFolder="" count="0" memberValueDatatype="20" unbalanced="0"/>
    <cacheHierarchy uniqueName="[Finance].[Equity]" caption="Equity" attribute="1" defaultMemberUniqueName="[Finance].[Equity].[All]" allUniqueName="[Finance].[Equity].[All]" dimensionUniqueName="[Finance]" displayFolder="" count="0" memberValueDatatype="20" unbalanced="0"/>
    <cacheHierarchy uniqueName="[Finance].[Cost Efficiency]" caption="Cost Efficiency" attribute="1" defaultMemberUniqueName="[Finance].[Cost Efficiency].[All]" allUniqueName="[Finance].[Cost Efficiency].[All]" dimensionUniqueName="[Finance]" displayFolder="" count="0" memberValueDatatype="5" unbalanced="0"/>
    <cacheHierarchy uniqueName="[Finance].[Date (Year)]" caption="Date (Year)" attribute="1" defaultMemberUniqueName="[Finance].[Date (Year)].[All]" allUniqueName="[Finance].[Date (Year)].[All]" dimensionUniqueName="[Finance]" displayFolder="" count="2" memberValueDatatype="130" unbalanced="0">
      <fieldsUsage count="2">
        <fieldUsage x="-1"/>
        <fieldUsage x="0"/>
      </fieldsUsage>
    </cacheHierarchy>
    <cacheHierarchy uniqueName="[Finance].[Operating Margin]" caption="Operating Margin" attribute="1" defaultMemberUniqueName="[Finance].[Operating Margin].[All]" allUniqueName="[Finance].[Operating Margin].[All]" dimensionUniqueName="[Finance]" displayFolder="" count="0" memberValueDatatype="5" unbalanced="0"/>
    <cacheHierarchy uniqueName="[Finance].[Date (Quarter)]" caption="Date (Quarter)" attribute="1" defaultMemberUniqueName="[Finance].[Date (Quarter)].[All]" allUniqueName="[Finance].[Date (Quarter)].[All]" dimensionUniqueName="[Finance]" displayFolder="" count="0" memberValueDatatype="130" unbalanced="0"/>
    <cacheHierarchy uniqueName="[Finance].[Date (Month)]" caption="Date (Month)" attribute="1" defaultMemberUniqueName="[Finance].[Date (Month)].[All]" allUniqueName="[Finance].[Date (Month)].[All]" dimensionUniqueName="[Finance]" displayFolder="" count="2" memberValueDatatype="130" unbalanced="0">
      <fieldsUsage count="2">
        <fieldUsage x="-1"/>
        <fieldUsage x="2"/>
      </fieldsUsage>
    </cacheHierarchy>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Operating_Expenses]" caption="Operating_Expenses" attribute="1" defaultMemberUniqueName="[Table1].[Operating_Expenses].[All]" allUniqueName="[Table1].[Operating_Expenses].[All]" dimensionUniqueName="[Table1]" displayFolder="" count="0" memberValueDatatype="20" unbalanced="0"/>
    <cacheHierarchy uniqueName="[Table1].[Gross_Profit]" caption="Gross_Profit" attribute="1" defaultMemberUniqueName="[Table1].[Gross_Profit].[All]" allUniqueName="[Table1].[Gross_Profit].[All]" dimensionUniqueName="[Table1]" displayFolder="" count="0" memberValueDatatype="20" unbalanced="0"/>
    <cacheHierarchy uniqueName="[Table1].[Net_Profit]" caption="Net_Profit" attribute="1" defaultMemberUniqueName="[Table1].[Net_Profit].[All]" allUniqueName="[Table1].[Net_Profit].[All]" dimensionUniqueName="[Table1]" displayFolder="" count="0" memberValueDatatype="20" unbalanced="0"/>
    <cacheHierarchy uniqueName="[Table1].[Assets]" caption="Assets" attribute="1" defaultMemberUniqueName="[Table1].[Assets].[All]" allUniqueName="[Table1].[Assets].[All]" dimensionUniqueName="[Table1]" displayFolder="" count="0" memberValueDatatype="20" unbalanced="0"/>
    <cacheHierarchy uniqueName="[Table1].[Liabilities]" caption="Liabilities" attribute="1" defaultMemberUniqueName="[Table1].[Liabilities].[All]" allUniqueName="[Table1].[Liabilities].[All]" dimensionUniqueName="[Table1]" displayFolder="" count="0" memberValueDatatype="20" unbalanced="0"/>
    <cacheHierarchy uniqueName="[Table1].[Equity]" caption="Equity" attribute="1" defaultMemberUniqueName="[Table1].[Equity].[All]" allUniqueName="[Table1].[Equity].[All]" dimensionUniqueName="[Table1]" displayFolder="" count="0" memberValueDatatype="20" unbalanced="0"/>
    <cacheHierarchy uniqueName="[Finance].[Date (Month Index)]" caption="Date (Month Index)" attribute="1" defaultMemberUniqueName="[Finance].[Date (Month Index)].[All]" allUniqueName="[Finance].[Date (Month Index)].[All]" dimensionUniqueName="[Finance]" displayFolder="" count="0" memberValueDatatype="20" unbalanced="0" hidden="1"/>
    <cacheHierarchy uniqueName="[Measures].[Sum of Cost Efficiency]" caption="Sum of Cost Efficiency" measure="1" displayFolder="" measureGroup="Finance" count="0">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Finance" count="0">
      <extLst>
        <ext xmlns:x15="http://schemas.microsoft.com/office/spreadsheetml/2010/11/main" uri="{B97F6D7D-B522-45F9-BDA1-12C45D357490}">
          <x15:cacheHierarchy aggregatedColumn="12"/>
        </ext>
      </extLst>
    </cacheHierarchy>
    <cacheHierarchy uniqueName="[Measures].[Average of Operating Margin]" caption="Average of Operating Margin" measure="1" displayFolder="" measureGroup="Finance" count="0">
      <extLst>
        <ext xmlns:x15="http://schemas.microsoft.com/office/spreadsheetml/2010/11/main" uri="{B97F6D7D-B522-45F9-BDA1-12C45D357490}">
          <x15:cacheHierarchy aggregatedColumn="12"/>
        </ext>
      </extLst>
    </cacheHierarchy>
    <cacheHierarchy uniqueName="[Measures].[Sum of Operating_Expenses]" caption="Sum of Operating_Expenses" measure="1" displayFolder="" measureGroup="Finance" count="0">
      <extLst>
        <ext xmlns:x15="http://schemas.microsoft.com/office/spreadsheetml/2010/11/main" uri="{B97F6D7D-B522-45F9-BDA1-12C45D357490}">
          <x15:cacheHierarchy aggregatedColumn="4"/>
        </ext>
      </extLst>
    </cacheHierarchy>
    <cacheHierarchy uniqueName="[Measures].[Sum of Revenue]" caption="Sum of Revenue" measure="1" displayFolder="" measureGroup="Finance" count="0" oneField="1">
      <fieldsUsage count="1">
        <fieldUsage x="1"/>
      </fieldsUsage>
      <extLst>
        <ext xmlns:x15="http://schemas.microsoft.com/office/spreadsheetml/2010/11/main" uri="{B97F6D7D-B522-45F9-BDA1-12C45D357490}">
          <x15:cacheHierarchy aggregatedColumn="3"/>
        </ext>
      </extLst>
    </cacheHierarchy>
    <cacheHierarchy uniqueName="[Measures].[Sum of Net_Profit]" caption="Sum of Net_Profit" measure="1" displayFolder="" measureGroup="Finance" count="0">
      <extLst>
        <ext xmlns:x15="http://schemas.microsoft.com/office/spreadsheetml/2010/11/main" uri="{B97F6D7D-B522-45F9-BDA1-12C45D357490}">
          <x15:cacheHierarchy aggregatedColumn="6"/>
        </ext>
      </extLst>
    </cacheHierarchy>
    <cacheHierarchy uniqueName="[Measures].[NetProfit]" caption="NetProfit" measure="1" displayFolder="" measureGroup="Finance" count="0"/>
    <cacheHierarchy uniqueName="[Measures].[ROA]" caption="ROA" measure="1" displayFolder="" measureGroup="Finance" count="0"/>
    <cacheHierarchy uniqueName="[Measures].[ROE]" caption="ROE" measure="1" displayFolder="" measureGroup="Finance" count="0"/>
    <cacheHierarchy uniqueName="[Measures].[totalRevenue]" caption="totalRevenue" measure="1" displayFolder="" measureGroup="Finance" count="0"/>
    <cacheHierarchy uniqueName="[Measures].[TotalProfit]" caption="TotalProfit" measure="1" displayFolder="" measureGroup="Finance" count="0"/>
    <cacheHierarchy uniqueName="[Measures].[ProfitMargin]" caption="ProfitMargin" measure="1" displayFolder="" measureGroup="Finance" count="0"/>
    <cacheHierarchy uniqueName="[Measures].[__XL_Count Table1]" caption="__XL_Count Table1" measure="1" displayFolder="" measureGroup="Table1"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3">
    <dimension name="Finance" uniqueName="[Finance]" caption="Finance"/>
    <dimension measure="1" name="Measures" uniqueName="[Measures]" caption="Measures"/>
    <dimension name="Table1" uniqueName="[Table1]" caption="Table1"/>
  </dimensions>
  <measureGroups count="2">
    <measureGroup name="Finance" caption="Financ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918501504631" backgroundQuery="1" createdVersion="8" refreshedVersion="8" minRefreshableVersion="3" recordCount="0" supportSubquery="1" supportAdvancedDrill="1" xr:uid="{3140947F-4EE6-44BF-A232-9BC94027506A}">
  <cacheSource type="external" connectionId="3"/>
  <cacheFields count="3">
    <cacheField name="[Finance].[Date (Year)].[Date (Year)]" caption="Date (Year)" numFmtId="0" hierarchy="11" level="1">
      <sharedItems count="5">
        <s v="2018"/>
        <s v="2019"/>
        <s v="2020"/>
        <s v="2021"/>
        <s v="2022"/>
      </sharedItems>
    </cacheField>
    <cacheField name="[Measures].[ROE]" caption="ROE" numFmtId="0" hierarchy="34" level="32767"/>
    <cacheField name="[Finance].[Date (Month)].[Date (Month)]" caption="Date (Month)" numFmtId="0" hierarchy="14" level="1">
      <sharedItems containsSemiMixedTypes="0" containsNonDate="0" containsString="0"/>
    </cacheField>
  </cacheFields>
  <cacheHierarchies count="41">
    <cacheHierarchy uniqueName="[Finance].[Date]" caption="Date" attribute="1" time="1" defaultMemberUniqueName="[Finance].[Date].[All]" allUniqueName="[Finance].[Date].[All]" dimensionUniqueName="[Finance]" displayFolder="" count="0" memberValueDatatype="7" unbalanced="0"/>
    <cacheHierarchy uniqueName="[Finance].[Region]" caption="Region" attribute="1" defaultMemberUniqueName="[Finance].[Region].[All]" allUniqueName="[Finance].[Region].[All]" dimensionUniqueName="[Finance]" displayFolder="" count="0" memberValueDatatype="130" unbalanced="0"/>
    <cacheHierarchy uniqueName="[Finance].[Department]" caption="Department" attribute="1" defaultMemberUniqueName="[Finance].[Department].[All]" allUniqueName="[Finance].[Department].[All]" dimensionUniqueName="[Finance]" displayFolder="" count="0" memberValueDatatype="130" unbalanced="0"/>
    <cacheHierarchy uniqueName="[Finance].[Revenue]" caption="Revenue" attribute="1" defaultMemberUniqueName="[Finance].[Revenue].[All]" allUniqueName="[Finance].[Revenue].[All]" dimensionUniqueName="[Finance]" displayFolder="" count="0" memberValueDatatype="20" unbalanced="0"/>
    <cacheHierarchy uniqueName="[Finance].[Operating_Expenses]" caption="Operating_Expenses" attribute="1" defaultMemberUniqueName="[Finance].[Operating_Expenses].[All]" allUniqueName="[Finance].[Operating_Expenses].[All]" dimensionUniqueName="[Finance]" displayFolder="" count="0" memberValueDatatype="20" unbalanced="0"/>
    <cacheHierarchy uniqueName="[Finance].[Gross_Profit]" caption="Gross_Profit" attribute="1" defaultMemberUniqueName="[Finance].[Gross_Profit].[All]" allUniqueName="[Finance].[Gross_Profit].[All]" dimensionUniqueName="[Finance]" displayFolder="" count="0" memberValueDatatype="20" unbalanced="0"/>
    <cacheHierarchy uniqueName="[Finance].[Net_Profit]" caption="Net_Profit" attribute="1" defaultMemberUniqueName="[Finance].[Net_Profit].[All]" allUniqueName="[Finance].[Net_Profit].[All]" dimensionUniqueName="[Finance]" displayFolder="" count="0" memberValueDatatype="20" unbalanced="0"/>
    <cacheHierarchy uniqueName="[Finance].[Assets]" caption="Assets" attribute="1" defaultMemberUniqueName="[Finance].[Assets].[All]" allUniqueName="[Finance].[Assets].[All]" dimensionUniqueName="[Finance]" displayFolder="" count="0" memberValueDatatype="20" unbalanced="0"/>
    <cacheHierarchy uniqueName="[Finance].[Liabilities]" caption="Liabilities" attribute="1" defaultMemberUniqueName="[Finance].[Liabilities].[All]" allUniqueName="[Finance].[Liabilities].[All]" dimensionUniqueName="[Finance]" displayFolder="" count="0" memberValueDatatype="20" unbalanced="0"/>
    <cacheHierarchy uniqueName="[Finance].[Equity]" caption="Equity" attribute="1" defaultMemberUniqueName="[Finance].[Equity].[All]" allUniqueName="[Finance].[Equity].[All]" dimensionUniqueName="[Finance]" displayFolder="" count="0" memberValueDatatype="20" unbalanced="0"/>
    <cacheHierarchy uniqueName="[Finance].[Cost Efficiency]" caption="Cost Efficiency" attribute="1" defaultMemberUniqueName="[Finance].[Cost Efficiency].[All]" allUniqueName="[Finance].[Cost Efficiency].[All]" dimensionUniqueName="[Finance]" displayFolder="" count="0" memberValueDatatype="5" unbalanced="0"/>
    <cacheHierarchy uniqueName="[Finance].[Date (Year)]" caption="Date (Year)" attribute="1" defaultMemberUniqueName="[Finance].[Date (Year)].[All]" allUniqueName="[Finance].[Date (Year)].[All]" dimensionUniqueName="[Finance]" displayFolder="" count="2" memberValueDatatype="130" unbalanced="0">
      <fieldsUsage count="2">
        <fieldUsage x="-1"/>
        <fieldUsage x="0"/>
      </fieldsUsage>
    </cacheHierarchy>
    <cacheHierarchy uniqueName="[Finance].[Operating Margin]" caption="Operating Margin" attribute="1" defaultMemberUniqueName="[Finance].[Operating Margin].[All]" allUniqueName="[Finance].[Operating Margin].[All]" dimensionUniqueName="[Finance]" displayFolder="" count="0" memberValueDatatype="5" unbalanced="0"/>
    <cacheHierarchy uniqueName="[Finance].[Date (Quarter)]" caption="Date (Quarter)" attribute="1" defaultMemberUniqueName="[Finance].[Date (Quarter)].[All]" allUniqueName="[Finance].[Date (Quarter)].[All]" dimensionUniqueName="[Finance]" displayFolder="" count="0" memberValueDatatype="130" unbalanced="0"/>
    <cacheHierarchy uniqueName="[Finance].[Date (Month)]" caption="Date (Month)" attribute="1" defaultMemberUniqueName="[Finance].[Date (Month)].[All]" allUniqueName="[Finance].[Date (Month)].[All]" dimensionUniqueName="[Finance]" displayFolder="" count="2" memberValueDatatype="130" unbalanced="0">
      <fieldsUsage count="2">
        <fieldUsage x="-1"/>
        <fieldUsage x="2"/>
      </fieldsUsage>
    </cacheHierarchy>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Operating_Expenses]" caption="Operating_Expenses" attribute="1" defaultMemberUniqueName="[Table1].[Operating_Expenses].[All]" allUniqueName="[Table1].[Operating_Expenses].[All]" dimensionUniqueName="[Table1]" displayFolder="" count="0" memberValueDatatype="20" unbalanced="0"/>
    <cacheHierarchy uniqueName="[Table1].[Gross_Profit]" caption="Gross_Profit" attribute="1" defaultMemberUniqueName="[Table1].[Gross_Profit].[All]" allUniqueName="[Table1].[Gross_Profit].[All]" dimensionUniqueName="[Table1]" displayFolder="" count="0" memberValueDatatype="20" unbalanced="0"/>
    <cacheHierarchy uniqueName="[Table1].[Net_Profit]" caption="Net_Profit" attribute="1" defaultMemberUniqueName="[Table1].[Net_Profit].[All]" allUniqueName="[Table1].[Net_Profit].[All]" dimensionUniqueName="[Table1]" displayFolder="" count="0" memberValueDatatype="20" unbalanced="0"/>
    <cacheHierarchy uniqueName="[Table1].[Assets]" caption="Assets" attribute="1" defaultMemberUniqueName="[Table1].[Assets].[All]" allUniqueName="[Table1].[Assets].[All]" dimensionUniqueName="[Table1]" displayFolder="" count="0" memberValueDatatype="20" unbalanced="0"/>
    <cacheHierarchy uniqueName="[Table1].[Liabilities]" caption="Liabilities" attribute="1" defaultMemberUniqueName="[Table1].[Liabilities].[All]" allUniqueName="[Table1].[Liabilities].[All]" dimensionUniqueName="[Table1]" displayFolder="" count="0" memberValueDatatype="20" unbalanced="0"/>
    <cacheHierarchy uniqueName="[Table1].[Equity]" caption="Equity" attribute="1" defaultMemberUniqueName="[Table1].[Equity].[All]" allUniqueName="[Table1].[Equity].[All]" dimensionUniqueName="[Table1]" displayFolder="" count="0" memberValueDatatype="20" unbalanced="0"/>
    <cacheHierarchy uniqueName="[Finance].[Date (Month Index)]" caption="Date (Month Index)" attribute="1" defaultMemberUniqueName="[Finance].[Date (Month Index)].[All]" allUniqueName="[Finance].[Date (Month Index)].[All]" dimensionUniqueName="[Finance]" displayFolder="" count="0" memberValueDatatype="20" unbalanced="0" hidden="1"/>
    <cacheHierarchy uniqueName="[Measures].[Sum of Cost Efficiency]" caption="Sum of Cost Efficiency" measure="1" displayFolder="" measureGroup="Finance" count="0">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Finance" count="0">
      <extLst>
        <ext xmlns:x15="http://schemas.microsoft.com/office/spreadsheetml/2010/11/main" uri="{B97F6D7D-B522-45F9-BDA1-12C45D357490}">
          <x15:cacheHierarchy aggregatedColumn="12"/>
        </ext>
      </extLst>
    </cacheHierarchy>
    <cacheHierarchy uniqueName="[Measures].[Average of Operating Margin]" caption="Average of Operating Margin" measure="1" displayFolder="" measureGroup="Finance" count="0">
      <extLst>
        <ext xmlns:x15="http://schemas.microsoft.com/office/spreadsheetml/2010/11/main" uri="{B97F6D7D-B522-45F9-BDA1-12C45D357490}">
          <x15:cacheHierarchy aggregatedColumn="12"/>
        </ext>
      </extLst>
    </cacheHierarchy>
    <cacheHierarchy uniqueName="[Measures].[Sum of Operating_Expenses]" caption="Sum of Operating_Expenses" measure="1" displayFolder="" measureGroup="Finance" count="0">
      <extLst>
        <ext xmlns:x15="http://schemas.microsoft.com/office/spreadsheetml/2010/11/main" uri="{B97F6D7D-B522-45F9-BDA1-12C45D357490}">
          <x15:cacheHierarchy aggregatedColumn="4"/>
        </ext>
      </extLst>
    </cacheHierarchy>
    <cacheHierarchy uniqueName="[Measures].[Sum of Revenue]" caption="Sum of Revenue" measure="1" displayFolder="" measureGroup="Finance" count="0">
      <extLst>
        <ext xmlns:x15="http://schemas.microsoft.com/office/spreadsheetml/2010/11/main" uri="{B97F6D7D-B522-45F9-BDA1-12C45D357490}">
          <x15:cacheHierarchy aggregatedColumn="3"/>
        </ext>
      </extLst>
    </cacheHierarchy>
    <cacheHierarchy uniqueName="[Measures].[Sum of Net_Profit]" caption="Sum of Net_Profit" measure="1" displayFolder="" measureGroup="Finance" count="0">
      <extLst>
        <ext xmlns:x15="http://schemas.microsoft.com/office/spreadsheetml/2010/11/main" uri="{B97F6D7D-B522-45F9-BDA1-12C45D357490}">
          <x15:cacheHierarchy aggregatedColumn="6"/>
        </ext>
      </extLst>
    </cacheHierarchy>
    <cacheHierarchy uniqueName="[Measures].[NetProfit]" caption="NetProfit" measure="1" displayFolder="" measureGroup="Finance" count="0"/>
    <cacheHierarchy uniqueName="[Measures].[ROA]" caption="ROA" measure="1" displayFolder="" measureGroup="Finance" count="0"/>
    <cacheHierarchy uniqueName="[Measures].[ROE]" caption="ROE" measure="1" displayFolder="" measureGroup="Finance" count="0" oneField="1">
      <fieldsUsage count="1">
        <fieldUsage x="1"/>
      </fieldsUsage>
    </cacheHierarchy>
    <cacheHierarchy uniqueName="[Measures].[totalRevenue]" caption="totalRevenue" measure="1" displayFolder="" measureGroup="Finance" count="0"/>
    <cacheHierarchy uniqueName="[Measures].[TotalProfit]" caption="TotalProfit" measure="1" displayFolder="" measureGroup="Finance" count="0"/>
    <cacheHierarchy uniqueName="[Measures].[ProfitMargin]" caption="ProfitMargin" measure="1" displayFolder="" measureGroup="Finance" count="0"/>
    <cacheHierarchy uniqueName="[Measures].[__XL_Count Table1]" caption="__XL_Count Table1" measure="1" displayFolder="" measureGroup="Table1"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3">
    <dimension name="Finance" uniqueName="[Finance]" caption="Finance"/>
    <dimension measure="1" name="Measures" uniqueName="[Measures]" caption="Measures"/>
    <dimension name="Table1" uniqueName="[Table1]" caption="Table1"/>
  </dimensions>
  <measureGroups count="2">
    <measureGroup name="Finance" caption="Financ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918502083332" backgroundQuery="1" createdVersion="8" refreshedVersion="8" minRefreshableVersion="3" recordCount="0" supportSubquery="1" supportAdvancedDrill="1" xr:uid="{A8DB8865-822D-4933-8382-4B06A6FF5E57}">
  <cacheSource type="external" connectionId="3"/>
  <cacheFields count="3">
    <cacheField name="[Finance].[Date (Year)].[Date (Year)]" caption="Date (Year)" numFmtId="0" hierarchy="11" level="1">
      <sharedItems count="5">
        <s v="2018"/>
        <s v="2019"/>
        <s v="2020"/>
        <s v="2021"/>
        <s v="2022"/>
      </sharedItems>
    </cacheField>
    <cacheField name="[Measures].[ROA]" caption="ROA" numFmtId="0" hierarchy="33" level="32767"/>
    <cacheField name="[Finance].[Date (Month)].[Date (Month)]" caption="Date (Month)" numFmtId="0" hierarchy="14" level="1">
      <sharedItems containsSemiMixedTypes="0" containsNonDate="0" containsString="0"/>
    </cacheField>
  </cacheFields>
  <cacheHierarchies count="41">
    <cacheHierarchy uniqueName="[Finance].[Date]" caption="Date" attribute="1" time="1" defaultMemberUniqueName="[Finance].[Date].[All]" allUniqueName="[Finance].[Date].[All]" dimensionUniqueName="[Finance]" displayFolder="" count="0" memberValueDatatype="7" unbalanced="0"/>
    <cacheHierarchy uniqueName="[Finance].[Region]" caption="Region" attribute="1" defaultMemberUniqueName="[Finance].[Region].[All]" allUniqueName="[Finance].[Region].[All]" dimensionUniqueName="[Finance]" displayFolder="" count="0" memberValueDatatype="130" unbalanced="0"/>
    <cacheHierarchy uniqueName="[Finance].[Department]" caption="Department" attribute="1" defaultMemberUniqueName="[Finance].[Department].[All]" allUniqueName="[Finance].[Department].[All]" dimensionUniqueName="[Finance]" displayFolder="" count="0" memberValueDatatype="130" unbalanced="0"/>
    <cacheHierarchy uniqueName="[Finance].[Revenue]" caption="Revenue" attribute="1" defaultMemberUniqueName="[Finance].[Revenue].[All]" allUniqueName="[Finance].[Revenue].[All]" dimensionUniqueName="[Finance]" displayFolder="" count="0" memberValueDatatype="20" unbalanced="0"/>
    <cacheHierarchy uniqueName="[Finance].[Operating_Expenses]" caption="Operating_Expenses" attribute="1" defaultMemberUniqueName="[Finance].[Operating_Expenses].[All]" allUniqueName="[Finance].[Operating_Expenses].[All]" dimensionUniqueName="[Finance]" displayFolder="" count="0" memberValueDatatype="20" unbalanced="0"/>
    <cacheHierarchy uniqueName="[Finance].[Gross_Profit]" caption="Gross_Profit" attribute="1" defaultMemberUniqueName="[Finance].[Gross_Profit].[All]" allUniqueName="[Finance].[Gross_Profit].[All]" dimensionUniqueName="[Finance]" displayFolder="" count="0" memberValueDatatype="20" unbalanced="0"/>
    <cacheHierarchy uniqueName="[Finance].[Net_Profit]" caption="Net_Profit" attribute="1" defaultMemberUniqueName="[Finance].[Net_Profit].[All]" allUniqueName="[Finance].[Net_Profit].[All]" dimensionUniqueName="[Finance]" displayFolder="" count="0" memberValueDatatype="20" unbalanced="0"/>
    <cacheHierarchy uniqueName="[Finance].[Assets]" caption="Assets" attribute="1" defaultMemberUniqueName="[Finance].[Assets].[All]" allUniqueName="[Finance].[Assets].[All]" dimensionUniqueName="[Finance]" displayFolder="" count="0" memberValueDatatype="20" unbalanced="0"/>
    <cacheHierarchy uniqueName="[Finance].[Liabilities]" caption="Liabilities" attribute="1" defaultMemberUniqueName="[Finance].[Liabilities].[All]" allUniqueName="[Finance].[Liabilities].[All]" dimensionUniqueName="[Finance]" displayFolder="" count="0" memberValueDatatype="20" unbalanced="0"/>
    <cacheHierarchy uniqueName="[Finance].[Equity]" caption="Equity" attribute="1" defaultMemberUniqueName="[Finance].[Equity].[All]" allUniqueName="[Finance].[Equity].[All]" dimensionUniqueName="[Finance]" displayFolder="" count="0" memberValueDatatype="20" unbalanced="0"/>
    <cacheHierarchy uniqueName="[Finance].[Cost Efficiency]" caption="Cost Efficiency" attribute="1" defaultMemberUniqueName="[Finance].[Cost Efficiency].[All]" allUniqueName="[Finance].[Cost Efficiency].[All]" dimensionUniqueName="[Finance]" displayFolder="" count="0" memberValueDatatype="5" unbalanced="0"/>
    <cacheHierarchy uniqueName="[Finance].[Date (Year)]" caption="Date (Year)" attribute="1" defaultMemberUniqueName="[Finance].[Date (Year)].[All]" allUniqueName="[Finance].[Date (Year)].[All]" dimensionUniqueName="[Finance]" displayFolder="" count="2" memberValueDatatype="130" unbalanced="0">
      <fieldsUsage count="2">
        <fieldUsage x="-1"/>
        <fieldUsage x="0"/>
      </fieldsUsage>
    </cacheHierarchy>
    <cacheHierarchy uniqueName="[Finance].[Operating Margin]" caption="Operating Margin" attribute="1" defaultMemberUniqueName="[Finance].[Operating Margin].[All]" allUniqueName="[Finance].[Operating Margin].[All]" dimensionUniqueName="[Finance]" displayFolder="" count="0" memberValueDatatype="5" unbalanced="0"/>
    <cacheHierarchy uniqueName="[Finance].[Date (Quarter)]" caption="Date (Quarter)" attribute="1" defaultMemberUniqueName="[Finance].[Date (Quarter)].[All]" allUniqueName="[Finance].[Date (Quarter)].[All]" dimensionUniqueName="[Finance]" displayFolder="" count="0" memberValueDatatype="130" unbalanced="0"/>
    <cacheHierarchy uniqueName="[Finance].[Date (Month)]" caption="Date (Month)" attribute="1" defaultMemberUniqueName="[Finance].[Date (Month)].[All]" allUniqueName="[Finance].[Date (Month)].[All]" dimensionUniqueName="[Finance]" displayFolder="" count="2" memberValueDatatype="130" unbalanced="0">
      <fieldsUsage count="2">
        <fieldUsage x="-1"/>
        <fieldUsage x="2"/>
      </fieldsUsage>
    </cacheHierarchy>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Operating_Expenses]" caption="Operating_Expenses" attribute="1" defaultMemberUniqueName="[Table1].[Operating_Expenses].[All]" allUniqueName="[Table1].[Operating_Expenses].[All]" dimensionUniqueName="[Table1]" displayFolder="" count="0" memberValueDatatype="20" unbalanced="0"/>
    <cacheHierarchy uniqueName="[Table1].[Gross_Profit]" caption="Gross_Profit" attribute="1" defaultMemberUniqueName="[Table1].[Gross_Profit].[All]" allUniqueName="[Table1].[Gross_Profit].[All]" dimensionUniqueName="[Table1]" displayFolder="" count="0" memberValueDatatype="20" unbalanced="0"/>
    <cacheHierarchy uniqueName="[Table1].[Net_Profit]" caption="Net_Profit" attribute="1" defaultMemberUniqueName="[Table1].[Net_Profit].[All]" allUniqueName="[Table1].[Net_Profit].[All]" dimensionUniqueName="[Table1]" displayFolder="" count="0" memberValueDatatype="20" unbalanced="0"/>
    <cacheHierarchy uniqueName="[Table1].[Assets]" caption="Assets" attribute="1" defaultMemberUniqueName="[Table1].[Assets].[All]" allUniqueName="[Table1].[Assets].[All]" dimensionUniqueName="[Table1]" displayFolder="" count="0" memberValueDatatype="20" unbalanced="0"/>
    <cacheHierarchy uniqueName="[Table1].[Liabilities]" caption="Liabilities" attribute="1" defaultMemberUniqueName="[Table1].[Liabilities].[All]" allUniqueName="[Table1].[Liabilities].[All]" dimensionUniqueName="[Table1]" displayFolder="" count="0" memberValueDatatype="20" unbalanced="0"/>
    <cacheHierarchy uniqueName="[Table1].[Equity]" caption="Equity" attribute="1" defaultMemberUniqueName="[Table1].[Equity].[All]" allUniqueName="[Table1].[Equity].[All]" dimensionUniqueName="[Table1]" displayFolder="" count="0" memberValueDatatype="20" unbalanced="0"/>
    <cacheHierarchy uniqueName="[Finance].[Date (Month Index)]" caption="Date (Month Index)" attribute="1" defaultMemberUniqueName="[Finance].[Date (Month Index)].[All]" allUniqueName="[Finance].[Date (Month Index)].[All]" dimensionUniqueName="[Finance]" displayFolder="" count="0" memberValueDatatype="20" unbalanced="0" hidden="1"/>
    <cacheHierarchy uniqueName="[Measures].[Sum of Cost Efficiency]" caption="Sum of Cost Efficiency" measure="1" displayFolder="" measureGroup="Finance" count="0">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Finance" count="0">
      <extLst>
        <ext xmlns:x15="http://schemas.microsoft.com/office/spreadsheetml/2010/11/main" uri="{B97F6D7D-B522-45F9-BDA1-12C45D357490}">
          <x15:cacheHierarchy aggregatedColumn="12"/>
        </ext>
      </extLst>
    </cacheHierarchy>
    <cacheHierarchy uniqueName="[Measures].[Average of Operating Margin]" caption="Average of Operating Margin" measure="1" displayFolder="" measureGroup="Finance" count="0">
      <extLst>
        <ext xmlns:x15="http://schemas.microsoft.com/office/spreadsheetml/2010/11/main" uri="{B97F6D7D-B522-45F9-BDA1-12C45D357490}">
          <x15:cacheHierarchy aggregatedColumn="12"/>
        </ext>
      </extLst>
    </cacheHierarchy>
    <cacheHierarchy uniqueName="[Measures].[Sum of Operating_Expenses]" caption="Sum of Operating_Expenses" measure="1" displayFolder="" measureGroup="Finance" count="0">
      <extLst>
        <ext xmlns:x15="http://schemas.microsoft.com/office/spreadsheetml/2010/11/main" uri="{B97F6D7D-B522-45F9-BDA1-12C45D357490}">
          <x15:cacheHierarchy aggregatedColumn="4"/>
        </ext>
      </extLst>
    </cacheHierarchy>
    <cacheHierarchy uniqueName="[Measures].[Sum of Revenue]" caption="Sum of Revenue" measure="1" displayFolder="" measureGroup="Finance" count="0">
      <extLst>
        <ext xmlns:x15="http://schemas.microsoft.com/office/spreadsheetml/2010/11/main" uri="{B97F6D7D-B522-45F9-BDA1-12C45D357490}">
          <x15:cacheHierarchy aggregatedColumn="3"/>
        </ext>
      </extLst>
    </cacheHierarchy>
    <cacheHierarchy uniqueName="[Measures].[Sum of Net_Profit]" caption="Sum of Net_Profit" measure="1" displayFolder="" measureGroup="Finance" count="0">
      <extLst>
        <ext xmlns:x15="http://schemas.microsoft.com/office/spreadsheetml/2010/11/main" uri="{B97F6D7D-B522-45F9-BDA1-12C45D357490}">
          <x15:cacheHierarchy aggregatedColumn="6"/>
        </ext>
      </extLst>
    </cacheHierarchy>
    <cacheHierarchy uniqueName="[Measures].[NetProfit]" caption="NetProfit" measure="1" displayFolder="" measureGroup="Finance" count="0"/>
    <cacheHierarchy uniqueName="[Measures].[ROA]" caption="ROA" measure="1" displayFolder="" measureGroup="Finance" count="0" oneField="1">
      <fieldsUsage count="1">
        <fieldUsage x="1"/>
      </fieldsUsage>
    </cacheHierarchy>
    <cacheHierarchy uniqueName="[Measures].[ROE]" caption="ROE" measure="1" displayFolder="" measureGroup="Finance" count="0"/>
    <cacheHierarchy uniqueName="[Measures].[totalRevenue]" caption="totalRevenue" measure="1" displayFolder="" measureGroup="Finance" count="0"/>
    <cacheHierarchy uniqueName="[Measures].[TotalProfit]" caption="TotalProfit" measure="1" displayFolder="" measureGroup="Finance" count="0"/>
    <cacheHierarchy uniqueName="[Measures].[ProfitMargin]" caption="ProfitMargin" measure="1" displayFolder="" measureGroup="Finance" count="0"/>
    <cacheHierarchy uniqueName="[Measures].[__XL_Count Table1]" caption="__XL_Count Table1" measure="1" displayFolder="" measureGroup="Table1"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3">
    <dimension name="Finance" uniqueName="[Finance]" caption="Finance"/>
    <dimension measure="1" name="Measures" uniqueName="[Measures]" caption="Measures"/>
    <dimension name="Table1" uniqueName="[Table1]" caption="Table1"/>
  </dimensions>
  <measureGroups count="2">
    <measureGroup name="Finance" caption="Financ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91850266204" backgroundQuery="1" createdVersion="8" refreshedVersion="8" minRefreshableVersion="3" recordCount="0" supportSubquery="1" supportAdvancedDrill="1" xr:uid="{546E0F96-90B0-49CA-A256-0FA6A81D255F}">
  <cacheSource type="external" connectionId="3"/>
  <cacheFields count="3">
    <cacheField name="[Measures].[ProfitMargin]" caption="ProfitMargin" numFmtId="0" hierarchy="37" level="32767"/>
    <cacheField name="[Finance].[Date (Year)].[Date (Year)]" caption="Date (Year)" numFmtId="0" hierarchy="11" level="1">
      <sharedItems count="5">
        <s v="2018"/>
        <s v="2019"/>
        <s v="2020"/>
        <s v="2021"/>
        <s v="2022"/>
      </sharedItems>
    </cacheField>
    <cacheField name="[Finance].[Date (Month)].[Date (Month)]" caption="Date (Month)" numFmtId="0" hierarchy="14" level="1">
      <sharedItems containsSemiMixedTypes="0" containsNonDate="0" containsString="0"/>
    </cacheField>
  </cacheFields>
  <cacheHierarchies count="41">
    <cacheHierarchy uniqueName="[Finance].[Date]" caption="Date" attribute="1" time="1" defaultMemberUniqueName="[Finance].[Date].[All]" allUniqueName="[Finance].[Date].[All]" dimensionUniqueName="[Finance]" displayFolder="" count="0" memberValueDatatype="7" unbalanced="0"/>
    <cacheHierarchy uniqueName="[Finance].[Region]" caption="Region" attribute="1" defaultMemberUniqueName="[Finance].[Region].[All]" allUniqueName="[Finance].[Region].[All]" dimensionUniqueName="[Finance]" displayFolder="" count="0" memberValueDatatype="130" unbalanced="0"/>
    <cacheHierarchy uniqueName="[Finance].[Department]" caption="Department" attribute="1" defaultMemberUniqueName="[Finance].[Department].[All]" allUniqueName="[Finance].[Department].[All]" dimensionUniqueName="[Finance]" displayFolder="" count="0" memberValueDatatype="130" unbalanced="0"/>
    <cacheHierarchy uniqueName="[Finance].[Revenue]" caption="Revenue" attribute="1" defaultMemberUniqueName="[Finance].[Revenue].[All]" allUniqueName="[Finance].[Revenue].[All]" dimensionUniqueName="[Finance]" displayFolder="" count="0" memberValueDatatype="20" unbalanced="0"/>
    <cacheHierarchy uniqueName="[Finance].[Operating_Expenses]" caption="Operating_Expenses" attribute="1" defaultMemberUniqueName="[Finance].[Operating_Expenses].[All]" allUniqueName="[Finance].[Operating_Expenses].[All]" dimensionUniqueName="[Finance]" displayFolder="" count="0" memberValueDatatype="20" unbalanced="0"/>
    <cacheHierarchy uniqueName="[Finance].[Gross_Profit]" caption="Gross_Profit" attribute="1" defaultMemberUniqueName="[Finance].[Gross_Profit].[All]" allUniqueName="[Finance].[Gross_Profit].[All]" dimensionUniqueName="[Finance]" displayFolder="" count="0" memberValueDatatype="20" unbalanced="0"/>
    <cacheHierarchy uniqueName="[Finance].[Net_Profit]" caption="Net_Profit" attribute="1" defaultMemberUniqueName="[Finance].[Net_Profit].[All]" allUniqueName="[Finance].[Net_Profit].[All]" dimensionUniqueName="[Finance]" displayFolder="" count="0" memberValueDatatype="20" unbalanced="0"/>
    <cacheHierarchy uniqueName="[Finance].[Assets]" caption="Assets" attribute="1" defaultMemberUniqueName="[Finance].[Assets].[All]" allUniqueName="[Finance].[Assets].[All]" dimensionUniqueName="[Finance]" displayFolder="" count="0" memberValueDatatype="20" unbalanced="0"/>
    <cacheHierarchy uniqueName="[Finance].[Liabilities]" caption="Liabilities" attribute="1" defaultMemberUniqueName="[Finance].[Liabilities].[All]" allUniqueName="[Finance].[Liabilities].[All]" dimensionUniqueName="[Finance]" displayFolder="" count="0" memberValueDatatype="20" unbalanced="0"/>
    <cacheHierarchy uniqueName="[Finance].[Equity]" caption="Equity" attribute="1" defaultMemberUniqueName="[Finance].[Equity].[All]" allUniqueName="[Finance].[Equity].[All]" dimensionUniqueName="[Finance]" displayFolder="" count="0" memberValueDatatype="20" unbalanced="0"/>
    <cacheHierarchy uniqueName="[Finance].[Cost Efficiency]" caption="Cost Efficiency" attribute="1" defaultMemberUniqueName="[Finance].[Cost Efficiency].[All]" allUniqueName="[Finance].[Cost Efficiency].[All]" dimensionUniqueName="[Finance]" displayFolder="" count="0" memberValueDatatype="5" unbalanced="0"/>
    <cacheHierarchy uniqueName="[Finance].[Date (Year)]" caption="Date (Year)" attribute="1" defaultMemberUniqueName="[Finance].[Date (Year)].[All]" allUniqueName="[Finance].[Date (Year)].[All]" dimensionUniqueName="[Finance]" displayFolder="" count="2" memberValueDatatype="130" unbalanced="0">
      <fieldsUsage count="2">
        <fieldUsage x="-1"/>
        <fieldUsage x="1"/>
      </fieldsUsage>
    </cacheHierarchy>
    <cacheHierarchy uniqueName="[Finance].[Operating Margin]" caption="Operating Margin" attribute="1" defaultMemberUniqueName="[Finance].[Operating Margin].[All]" allUniqueName="[Finance].[Operating Margin].[All]" dimensionUniqueName="[Finance]" displayFolder="" count="0" memberValueDatatype="5" unbalanced="0"/>
    <cacheHierarchy uniqueName="[Finance].[Date (Quarter)]" caption="Date (Quarter)" attribute="1" defaultMemberUniqueName="[Finance].[Date (Quarter)].[All]" allUniqueName="[Finance].[Date (Quarter)].[All]" dimensionUniqueName="[Finance]" displayFolder="" count="0" memberValueDatatype="130" unbalanced="0"/>
    <cacheHierarchy uniqueName="[Finance].[Date (Month)]" caption="Date (Month)" attribute="1" defaultMemberUniqueName="[Finance].[Date (Month)].[All]" allUniqueName="[Finance].[Date (Month)].[All]" dimensionUniqueName="[Finance]" displayFolder="" count="2" memberValueDatatype="130" unbalanced="0">
      <fieldsUsage count="2">
        <fieldUsage x="-1"/>
        <fieldUsage x="2"/>
      </fieldsUsage>
    </cacheHierarchy>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Operating_Expenses]" caption="Operating_Expenses" attribute="1" defaultMemberUniqueName="[Table1].[Operating_Expenses].[All]" allUniqueName="[Table1].[Operating_Expenses].[All]" dimensionUniqueName="[Table1]" displayFolder="" count="0" memberValueDatatype="20" unbalanced="0"/>
    <cacheHierarchy uniqueName="[Table1].[Gross_Profit]" caption="Gross_Profit" attribute="1" defaultMemberUniqueName="[Table1].[Gross_Profit].[All]" allUniqueName="[Table1].[Gross_Profit].[All]" dimensionUniqueName="[Table1]" displayFolder="" count="0" memberValueDatatype="20" unbalanced="0"/>
    <cacheHierarchy uniqueName="[Table1].[Net_Profit]" caption="Net_Profit" attribute="1" defaultMemberUniqueName="[Table1].[Net_Profit].[All]" allUniqueName="[Table1].[Net_Profit].[All]" dimensionUniqueName="[Table1]" displayFolder="" count="0" memberValueDatatype="20" unbalanced="0"/>
    <cacheHierarchy uniqueName="[Table1].[Assets]" caption="Assets" attribute="1" defaultMemberUniqueName="[Table1].[Assets].[All]" allUniqueName="[Table1].[Assets].[All]" dimensionUniqueName="[Table1]" displayFolder="" count="0" memberValueDatatype="20" unbalanced="0"/>
    <cacheHierarchy uniqueName="[Table1].[Liabilities]" caption="Liabilities" attribute="1" defaultMemberUniqueName="[Table1].[Liabilities].[All]" allUniqueName="[Table1].[Liabilities].[All]" dimensionUniqueName="[Table1]" displayFolder="" count="0" memberValueDatatype="20" unbalanced="0"/>
    <cacheHierarchy uniqueName="[Table1].[Equity]" caption="Equity" attribute="1" defaultMemberUniqueName="[Table1].[Equity].[All]" allUniqueName="[Table1].[Equity].[All]" dimensionUniqueName="[Table1]" displayFolder="" count="0" memberValueDatatype="20" unbalanced="0"/>
    <cacheHierarchy uniqueName="[Finance].[Date (Month Index)]" caption="Date (Month Index)" attribute="1" defaultMemberUniqueName="[Finance].[Date (Month Index)].[All]" allUniqueName="[Finance].[Date (Month Index)].[All]" dimensionUniqueName="[Finance]" displayFolder="" count="0" memberValueDatatype="20" unbalanced="0" hidden="1"/>
    <cacheHierarchy uniqueName="[Measures].[Sum of Cost Efficiency]" caption="Sum of Cost Efficiency" measure="1" displayFolder="" measureGroup="Finance" count="0">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Finance" count="0">
      <extLst>
        <ext xmlns:x15="http://schemas.microsoft.com/office/spreadsheetml/2010/11/main" uri="{B97F6D7D-B522-45F9-BDA1-12C45D357490}">
          <x15:cacheHierarchy aggregatedColumn="12"/>
        </ext>
      </extLst>
    </cacheHierarchy>
    <cacheHierarchy uniqueName="[Measures].[Average of Operating Margin]" caption="Average of Operating Margin" measure="1" displayFolder="" measureGroup="Finance" count="0">
      <extLst>
        <ext xmlns:x15="http://schemas.microsoft.com/office/spreadsheetml/2010/11/main" uri="{B97F6D7D-B522-45F9-BDA1-12C45D357490}">
          <x15:cacheHierarchy aggregatedColumn="12"/>
        </ext>
      </extLst>
    </cacheHierarchy>
    <cacheHierarchy uniqueName="[Measures].[Sum of Operating_Expenses]" caption="Sum of Operating_Expenses" measure="1" displayFolder="" measureGroup="Finance" count="0">
      <extLst>
        <ext xmlns:x15="http://schemas.microsoft.com/office/spreadsheetml/2010/11/main" uri="{B97F6D7D-B522-45F9-BDA1-12C45D357490}">
          <x15:cacheHierarchy aggregatedColumn="4"/>
        </ext>
      </extLst>
    </cacheHierarchy>
    <cacheHierarchy uniqueName="[Measures].[Sum of Revenue]" caption="Sum of Revenue" measure="1" displayFolder="" measureGroup="Finance" count="0">
      <extLst>
        <ext xmlns:x15="http://schemas.microsoft.com/office/spreadsheetml/2010/11/main" uri="{B97F6D7D-B522-45F9-BDA1-12C45D357490}">
          <x15:cacheHierarchy aggregatedColumn="3"/>
        </ext>
      </extLst>
    </cacheHierarchy>
    <cacheHierarchy uniqueName="[Measures].[Sum of Net_Profit]" caption="Sum of Net_Profit" measure="1" displayFolder="" measureGroup="Finance" count="0">
      <extLst>
        <ext xmlns:x15="http://schemas.microsoft.com/office/spreadsheetml/2010/11/main" uri="{B97F6D7D-B522-45F9-BDA1-12C45D357490}">
          <x15:cacheHierarchy aggregatedColumn="6"/>
        </ext>
      </extLst>
    </cacheHierarchy>
    <cacheHierarchy uniqueName="[Measures].[NetProfit]" caption="NetProfit" measure="1" displayFolder="" measureGroup="Finance" count="0"/>
    <cacheHierarchy uniqueName="[Measures].[ROA]" caption="ROA" measure="1" displayFolder="" measureGroup="Finance" count="0"/>
    <cacheHierarchy uniqueName="[Measures].[ROE]" caption="ROE" measure="1" displayFolder="" measureGroup="Finance" count="0"/>
    <cacheHierarchy uniqueName="[Measures].[totalRevenue]" caption="totalRevenue" measure="1" displayFolder="" measureGroup="Finance" count="0"/>
    <cacheHierarchy uniqueName="[Measures].[TotalProfit]" caption="TotalProfit" measure="1" displayFolder="" measureGroup="Finance" count="0"/>
    <cacheHierarchy uniqueName="[Measures].[ProfitMargin]" caption="ProfitMargin" measure="1" displayFolder="" measureGroup="Finance" count="0" oneField="1">
      <fieldsUsage count="1">
        <fieldUsage x="0"/>
      </fieldsUsage>
    </cacheHierarchy>
    <cacheHierarchy uniqueName="[Measures].[__XL_Count Table1]" caption="__XL_Count Table1" measure="1" displayFolder="" measureGroup="Table1"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3">
    <dimension name="Finance" uniqueName="[Finance]" caption="Finance"/>
    <dimension measure="1" name="Measures" uniqueName="[Measures]" caption="Measures"/>
    <dimension name="Table1" uniqueName="[Table1]" caption="Table1"/>
  </dimensions>
  <measureGroups count="2">
    <measureGroup name="Finance" caption="Financ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918502777778" backgroundQuery="1" createdVersion="8" refreshedVersion="8" minRefreshableVersion="3" recordCount="0" supportSubquery="1" supportAdvancedDrill="1" xr:uid="{3682C4C7-F650-408A-ACC2-4F5840398594}">
  <cacheSource type="external" connectionId="3"/>
  <cacheFields count="2">
    <cacheField name="[Measures].[TotalProfit]" caption="TotalProfit" numFmtId="0" hierarchy="36" level="32767"/>
    <cacheField name="[Finance].[Date (Month)].[Date (Month)]" caption="Date (Month)" numFmtId="0" hierarchy="14" level="1">
      <sharedItems containsSemiMixedTypes="0" containsNonDate="0" containsString="0"/>
    </cacheField>
  </cacheFields>
  <cacheHierarchies count="41">
    <cacheHierarchy uniqueName="[Finance].[Date]" caption="Date" attribute="1" time="1" defaultMemberUniqueName="[Finance].[Date].[All]" allUniqueName="[Finance].[Date].[All]" dimensionUniqueName="[Finance]" displayFolder="" count="0" memberValueDatatype="7" unbalanced="0"/>
    <cacheHierarchy uniqueName="[Finance].[Region]" caption="Region" attribute="1" defaultMemberUniqueName="[Finance].[Region].[All]" allUniqueName="[Finance].[Region].[All]" dimensionUniqueName="[Finance]" displayFolder="" count="0" memberValueDatatype="130" unbalanced="0"/>
    <cacheHierarchy uniqueName="[Finance].[Department]" caption="Department" attribute="1" defaultMemberUniqueName="[Finance].[Department].[All]" allUniqueName="[Finance].[Department].[All]" dimensionUniqueName="[Finance]" displayFolder="" count="0" memberValueDatatype="130" unbalanced="0"/>
    <cacheHierarchy uniqueName="[Finance].[Revenue]" caption="Revenue" attribute="1" defaultMemberUniqueName="[Finance].[Revenue].[All]" allUniqueName="[Finance].[Revenue].[All]" dimensionUniqueName="[Finance]" displayFolder="" count="0" memberValueDatatype="20" unbalanced="0"/>
    <cacheHierarchy uniqueName="[Finance].[Operating_Expenses]" caption="Operating_Expenses" attribute="1" defaultMemberUniqueName="[Finance].[Operating_Expenses].[All]" allUniqueName="[Finance].[Operating_Expenses].[All]" dimensionUniqueName="[Finance]" displayFolder="" count="0" memberValueDatatype="20" unbalanced="0"/>
    <cacheHierarchy uniqueName="[Finance].[Gross_Profit]" caption="Gross_Profit" attribute="1" defaultMemberUniqueName="[Finance].[Gross_Profit].[All]" allUniqueName="[Finance].[Gross_Profit].[All]" dimensionUniqueName="[Finance]" displayFolder="" count="0" memberValueDatatype="20" unbalanced="0"/>
    <cacheHierarchy uniqueName="[Finance].[Net_Profit]" caption="Net_Profit" attribute="1" defaultMemberUniqueName="[Finance].[Net_Profit].[All]" allUniqueName="[Finance].[Net_Profit].[All]" dimensionUniqueName="[Finance]" displayFolder="" count="0" memberValueDatatype="20" unbalanced="0"/>
    <cacheHierarchy uniqueName="[Finance].[Assets]" caption="Assets" attribute="1" defaultMemberUniqueName="[Finance].[Assets].[All]" allUniqueName="[Finance].[Assets].[All]" dimensionUniqueName="[Finance]" displayFolder="" count="0" memberValueDatatype="20" unbalanced="0"/>
    <cacheHierarchy uniqueName="[Finance].[Liabilities]" caption="Liabilities" attribute="1" defaultMemberUniqueName="[Finance].[Liabilities].[All]" allUniqueName="[Finance].[Liabilities].[All]" dimensionUniqueName="[Finance]" displayFolder="" count="0" memberValueDatatype="20" unbalanced="0"/>
    <cacheHierarchy uniqueName="[Finance].[Equity]" caption="Equity" attribute="1" defaultMemberUniqueName="[Finance].[Equity].[All]" allUniqueName="[Finance].[Equity].[All]" dimensionUniqueName="[Finance]" displayFolder="" count="0" memberValueDatatype="20" unbalanced="0"/>
    <cacheHierarchy uniqueName="[Finance].[Cost Efficiency]" caption="Cost Efficiency" attribute="1" defaultMemberUniqueName="[Finance].[Cost Efficiency].[All]" allUniqueName="[Finance].[Cost Efficiency].[All]" dimensionUniqueName="[Finance]" displayFolder="" count="0" memberValueDatatype="5" unbalanced="0"/>
    <cacheHierarchy uniqueName="[Finance].[Date (Year)]" caption="Date (Year)" attribute="1" defaultMemberUniqueName="[Finance].[Date (Year)].[All]" allUniqueName="[Finance].[Date (Year)].[All]" dimensionUniqueName="[Finance]" displayFolder="" count="2" memberValueDatatype="130" unbalanced="0"/>
    <cacheHierarchy uniqueName="[Finance].[Operating Margin]" caption="Operating Margin" attribute="1" defaultMemberUniqueName="[Finance].[Operating Margin].[All]" allUniqueName="[Finance].[Operating Margin].[All]" dimensionUniqueName="[Finance]" displayFolder="" count="0" memberValueDatatype="5" unbalanced="0"/>
    <cacheHierarchy uniqueName="[Finance].[Date (Quarter)]" caption="Date (Quarter)" attribute="1" defaultMemberUniqueName="[Finance].[Date (Quarter)].[All]" allUniqueName="[Finance].[Date (Quarter)].[All]" dimensionUniqueName="[Finance]" displayFolder="" count="0" memberValueDatatype="130" unbalanced="0"/>
    <cacheHierarchy uniqueName="[Finance].[Date (Month)]" caption="Date (Month)" attribute="1" defaultMemberUniqueName="[Finance].[Date (Month)].[All]" allUniqueName="[Finance].[Date (Month)].[All]" dimensionUniqueName="[Finance]" displayFolder="" count="2" memberValueDatatype="130" unbalanced="0">
      <fieldsUsage count="2">
        <fieldUsage x="-1"/>
        <fieldUsage x="1"/>
      </fieldsUsage>
    </cacheHierarchy>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Operating_Expenses]" caption="Operating_Expenses" attribute="1" defaultMemberUniqueName="[Table1].[Operating_Expenses].[All]" allUniqueName="[Table1].[Operating_Expenses].[All]" dimensionUniqueName="[Table1]" displayFolder="" count="0" memberValueDatatype="20" unbalanced="0"/>
    <cacheHierarchy uniqueName="[Table1].[Gross_Profit]" caption="Gross_Profit" attribute="1" defaultMemberUniqueName="[Table1].[Gross_Profit].[All]" allUniqueName="[Table1].[Gross_Profit].[All]" dimensionUniqueName="[Table1]" displayFolder="" count="0" memberValueDatatype="20" unbalanced="0"/>
    <cacheHierarchy uniqueName="[Table1].[Net_Profit]" caption="Net_Profit" attribute="1" defaultMemberUniqueName="[Table1].[Net_Profit].[All]" allUniqueName="[Table1].[Net_Profit].[All]" dimensionUniqueName="[Table1]" displayFolder="" count="0" memberValueDatatype="20" unbalanced="0"/>
    <cacheHierarchy uniqueName="[Table1].[Assets]" caption="Assets" attribute="1" defaultMemberUniqueName="[Table1].[Assets].[All]" allUniqueName="[Table1].[Assets].[All]" dimensionUniqueName="[Table1]" displayFolder="" count="0" memberValueDatatype="20" unbalanced="0"/>
    <cacheHierarchy uniqueName="[Table1].[Liabilities]" caption="Liabilities" attribute="1" defaultMemberUniqueName="[Table1].[Liabilities].[All]" allUniqueName="[Table1].[Liabilities].[All]" dimensionUniqueName="[Table1]" displayFolder="" count="0" memberValueDatatype="20" unbalanced="0"/>
    <cacheHierarchy uniqueName="[Table1].[Equity]" caption="Equity" attribute="1" defaultMemberUniqueName="[Table1].[Equity].[All]" allUniqueName="[Table1].[Equity].[All]" dimensionUniqueName="[Table1]" displayFolder="" count="0" memberValueDatatype="20" unbalanced="0"/>
    <cacheHierarchy uniqueName="[Finance].[Date (Month Index)]" caption="Date (Month Index)" attribute="1" defaultMemberUniqueName="[Finance].[Date (Month Index)].[All]" allUniqueName="[Finance].[Date (Month Index)].[All]" dimensionUniqueName="[Finance]" displayFolder="" count="0" memberValueDatatype="20" unbalanced="0" hidden="1"/>
    <cacheHierarchy uniqueName="[Measures].[Sum of Cost Efficiency]" caption="Sum of Cost Efficiency" measure="1" displayFolder="" measureGroup="Finance" count="0">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Finance" count="0">
      <extLst>
        <ext xmlns:x15="http://schemas.microsoft.com/office/spreadsheetml/2010/11/main" uri="{B97F6D7D-B522-45F9-BDA1-12C45D357490}">
          <x15:cacheHierarchy aggregatedColumn="12"/>
        </ext>
      </extLst>
    </cacheHierarchy>
    <cacheHierarchy uniqueName="[Measures].[Average of Operating Margin]" caption="Average of Operating Margin" measure="1" displayFolder="" measureGroup="Finance" count="0">
      <extLst>
        <ext xmlns:x15="http://schemas.microsoft.com/office/spreadsheetml/2010/11/main" uri="{B97F6D7D-B522-45F9-BDA1-12C45D357490}">
          <x15:cacheHierarchy aggregatedColumn="12"/>
        </ext>
      </extLst>
    </cacheHierarchy>
    <cacheHierarchy uniqueName="[Measures].[Sum of Operating_Expenses]" caption="Sum of Operating_Expenses" measure="1" displayFolder="" measureGroup="Finance" count="0">
      <extLst>
        <ext xmlns:x15="http://schemas.microsoft.com/office/spreadsheetml/2010/11/main" uri="{B97F6D7D-B522-45F9-BDA1-12C45D357490}">
          <x15:cacheHierarchy aggregatedColumn="4"/>
        </ext>
      </extLst>
    </cacheHierarchy>
    <cacheHierarchy uniqueName="[Measures].[Sum of Revenue]" caption="Sum of Revenue" measure="1" displayFolder="" measureGroup="Finance" count="0">
      <extLst>
        <ext xmlns:x15="http://schemas.microsoft.com/office/spreadsheetml/2010/11/main" uri="{B97F6D7D-B522-45F9-BDA1-12C45D357490}">
          <x15:cacheHierarchy aggregatedColumn="3"/>
        </ext>
      </extLst>
    </cacheHierarchy>
    <cacheHierarchy uniqueName="[Measures].[Sum of Net_Profit]" caption="Sum of Net_Profit" measure="1" displayFolder="" measureGroup="Finance" count="0">
      <extLst>
        <ext xmlns:x15="http://schemas.microsoft.com/office/spreadsheetml/2010/11/main" uri="{B97F6D7D-B522-45F9-BDA1-12C45D357490}">
          <x15:cacheHierarchy aggregatedColumn="6"/>
        </ext>
      </extLst>
    </cacheHierarchy>
    <cacheHierarchy uniqueName="[Measures].[NetProfit]" caption="NetProfit" measure="1" displayFolder="" measureGroup="Finance" count="0"/>
    <cacheHierarchy uniqueName="[Measures].[ROA]" caption="ROA" measure="1" displayFolder="" measureGroup="Finance" count="0"/>
    <cacheHierarchy uniqueName="[Measures].[ROE]" caption="ROE" measure="1" displayFolder="" measureGroup="Finance" count="0"/>
    <cacheHierarchy uniqueName="[Measures].[totalRevenue]" caption="totalRevenue" measure="1" displayFolder="" measureGroup="Finance" count="0"/>
    <cacheHierarchy uniqueName="[Measures].[TotalProfit]" caption="TotalProfit" measure="1" displayFolder="" measureGroup="Finance" count="0" oneField="1">
      <fieldsUsage count="1">
        <fieldUsage x="0"/>
      </fieldsUsage>
    </cacheHierarchy>
    <cacheHierarchy uniqueName="[Measures].[ProfitMargin]" caption="ProfitMargin" measure="1" displayFolder="" measureGroup="Finance" count="0"/>
    <cacheHierarchy uniqueName="[Measures].[__XL_Count Table1]" caption="__XL_Count Table1" measure="1" displayFolder="" measureGroup="Table1"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dimensions count="3">
    <dimension name="Finance" uniqueName="[Finance]" caption="Finance"/>
    <dimension measure="1" name="Measures" uniqueName="[Measures]" caption="Measures"/>
    <dimension name="Table1" uniqueName="[Table1]" caption="Table1"/>
  </dimensions>
  <measureGroups count="2">
    <measureGroup name="Finance" caption="Financ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678713078705" backgroundQuery="1" createdVersion="3" refreshedVersion="8" minRefreshableVersion="3" recordCount="0" supportSubquery="1" supportAdvancedDrill="1" xr:uid="{657D9A78-176B-4F49-A11B-FAFE0860002B}">
  <cacheSource type="external" connectionId="3">
    <extLst>
      <ext xmlns:x14="http://schemas.microsoft.com/office/spreadsheetml/2009/9/main" uri="{F057638F-6D5F-4e77-A914-E7F072B9BCA8}">
        <x14:sourceConnection name="ThisWorkbookDataModel"/>
      </ext>
    </extLst>
  </cacheSource>
  <cacheFields count="0"/>
  <cacheHierarchies count="41">
    <cacheHierarchy uniqueName="[Finance].[Date]" caption="Date" attribute="1" time="1" defaultMemberUniqueName="[Finance].[Date].[All]" allUniqueName="[Finance].[Date].[All]" dimensionUniqueName="[Finance]" displayFolder="" count="0" memberValueDatatype="7" unbalanced="0"/>
    <cacheHierarchy uniqueName="[Finance].[Region]" caption="Region" attribute="1" defaultMemberUniqueName="[Finance].[Region].[All]" allUniqueName="[Finance].[Region].[All]" dimensionUniqueName="[Finance]" displayFolder="" count="2" memberValueDatatype="130" unbalanced="0"/>
    <cacheHierarchy uniqueName="[Finance].[Department]" caption="Department" attribute="1" defaultMemberUniqueName="[Finance].[Department].[All]" allUniqueName="[Finance].[Department].[All]" dimensionUniqueName="[Finance]" displayFolder="" count="0" memberValueDatatype="130" unbalanced="0"/>
    <cacheHierarchy uniqueName="[Finance].[Revenue]" caption="Revenue" attribute="1" defaultMemberUniqueName="[Finance].[Revenue].[All]" allUniqueName="[Finance].[Revenue].[All]" dimensionUniqueName="[Finance]" displayFolder="" count="0" memberValueDatatype="20" unbalanced="0"/>
    <cacheHierarchy uniqueName="[Finance].[Operating_Expenses]" caption="Operating_Expenses" attribute="1" defaultMemberUniqueName="[Finance].[Operating_Expenses].[All]" allUniqueName="[Finance].[Operating_Expenses].[All]" dimensionUniqueName="[Finance]" displayFolder="" count="0" memberValueDatatype="20" unbalanced="0"/>
    <cacheHierarchy uniqueName="[Finance].[Gross_Profit]" caption="Gross_Profit" attribute="1" defaultMemberUniqueName="[Finance].[Gross_Profit].[All]" allUniqueName="[Finance].[Gross_Profit].[All]" dimensionUniqueName="[Finance]" displayFolder="" count="0" memberValueDatatype="20" unbalanced="0"/>
    <cacheHierarchy uniqueName="[Finance].[Net_Profit]" caption="Net_Profit" attribute="1" defaultMemberUniqueName="[Finance].[Net_Profit].[All]" allUniqueName="[Finance].[Net_Profit].[All]" dimensionUniqueName="[Finance]" displayFolder="" count="0" memberValueDatatype="20" unbalanced="0"/>
    <cacheHierarchy uniqueName="[Finance].[Assets]" caption="Assets" attribute="1" defaultMemberUniqueName="[Finance].[Assets].[All]" allUniqueName="[Finance].[Assets].[All]" dimensionUniqueName="[Finance]" displayFolder="" count="0" memberValueDatatype="20" unbalanced="0"/>
    <cacheHierarchy uniqueName="[Finance].[Liabilities]" caption="Liabilities" attribute="1" defaultMemberUniqueName="[Finance].[Liabilities].[All]" allUniqueName="[Finance].[Liabilities].[All]" dimensionUniqueName="[Finance]" displayFolder="" count="0" memberValueDatatype="20" unbalanced="0"/>
    <cacheHierarchy uniqueName="[Finance].[Equity]" caption="Equity" attribute="1" defaultMemberUniqueName="[Finance].[Equity].[All]" allUniqueName="[Finance].[Equity].[All]" dimensionUniqueName="[Finance]" displayFolder="" count="0" memberValueDatatype="20" unbalanced="0"/>
    <cacheHierarchy uniqueName="[Finance].[Cost Efficiency]" caption="Cost Efficiency" attribute="1" defaultMemberUniqueName="[Finance].[Cost Efficiency].[All]" allUniqueName="[Finance].[Cost Efficiency].[All]" dimensionUniqueName="[Finance]" displayFolder="" count="0" memberValueDatatype="5" unbalanced="0"/>
    <cacheHierarchy uniqueName="[Finance].[Date (Year)]" caption="Date (Year)" attribute="1" defaultMemberUniqueName="[Finance].[Date (Year)].[All]" allUniqueName="[Finance].[Date (Year)].[All]" dimensionUniqueName="[Finance]" displayFolder="" count="0" memberValueDatatype="130" unbalanced="0"/>
    <cacheHierarchy uniqueName="[Finance].[Operating Margin]" caption="Operating Margin" attribute="1" defaultMemberUniqueName="[Finance].[Operating Margin].[All]" allUniqueName="[Finance].[Operating Margin].[All]" dimensionUniqueName="[Finance]" displayFolder="" count="0" memberValueDatatype="5" unbalanced="0"/>
    <cacheHierarchy uniqueName="[Finance].[Date (Quarter)]" caption="Date (Quarter)" attribute="1" defaultMemberUniqueName="[Finance].[Date (Quarter)].[All]" allUniqueName="[Finance].[Date (Quarter)].[All]" dimensionUniqueName="[Finance]" displayFolder="" count="0" memberValueDatatype="130" unbalanced="0"/>
    <cacheHierarchy uniqueName="[Finance].[Date (Month)]" caption="Date (Month)" attribute="1" defaultMemberUniqueName="[Finance].[Date (Month)].[All]" allUniqueName="[Finance].[Date (Month)].[All]" dimensionUniqueName="[Finance]" displayFolder="" count="2"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Operating_Expenses]" caption="Operating_Expenses" attribute="1" defaultMemberUniqueName="[Table1].[Operating_Expenses].[All]" allUniqueName="[Table1].[Operating_Expenses].[All]" dimensionUniqueName="[Table1]" displayFolder="" count="0" memberValueDatatype="20" unbalanced="0"/>
    <cacheHierarchy uniqueName="[Table1].[Gross_Profit]" caption="Gross_Profit" attribute="1" defaultMemberUniqueName="[Table1].[Gross_Profit].[All]" allUniqueName="[Table1].[Gross_Profit].[All]" dimensionUniqueName="[Table1]" displayFolder="" count="0" memberValueDatatype="20" unbalanced="0"/>
    <cacheHierarchy uniqueName="[Table1].[Net_Profit]" caption="Net_Profit" attribute="1" defaultMemberUniqueName="[Table1].[Net_Profit].[All]" allUniqueName="[Table1].[Net_Profit].[All]" dimensionUniqueName="[Table1]" displayFolder="" count="0" memberValueDatatype="20" unbalanced="0"/>
    <cacheHierarchy uniqueName="[Table1].[Assets]" caption="Assets" attribute="1" defaultMemberUniqueName="[Table1].[Assets].[All]" allUniqueName="[Table1].[Assets].[All]" dimensionUniqueName="[Table1]" displayFolder="" count="0" memberValueDatatype="20" unbalanced="0"/>
    <cacheHierarchy uniqueName="[Table1].[Liabilities]" caption="Liabilities" attribute="1" defaultMemberUniqueName="[Table1].[Liabilities].[All]" allUniqueName="[Table1].[Liabilities].[All]" dimensionUniqueName="[Table1]" displayFolder="" count="0" memberValueDatatype="20" unbalanced="0"/>
    <cacheHierarchy uniqueName="[Table1].[Equity]" caption="Equity" attribute="1" defaultMemberUniqueName="[Table1].[Equity].[All]" allUniqueName="[Table1].[Equity].[All]" dimensionUniqueName="[Table1]" displayFolder="" count="0" memberValueDatatype="20" unbalanced="0"/>
    <cacheHierarchy uniqueName="[Finance].[Date (Month Index)]" caption="Date (Month Index)" attribute="1" defaultMemberUniqueName="[Finance].[Date (Month Index)].[All]" allUniqueName="[Finance].[Date (Month Index)].[All]" dimensionUniqueName="[Finance]" displayFolder="" count="0" memberValueDatatype="20" unbalanced="0" hidden="1"/>
    <cacheHierarchy uniqueName="[Measures].[Sum of Cost Efficiency]" caption="Sum of Cost Efficiency" measure="1" displayFolder="" measureGroup="Finance" count="0">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Finance" count="0">
      <extLst>
        <ext xmlns:x15="http://schemas.microsoft.com/office/spreadsheetml/2010/11/main" uri="{B97F6D7D-B522-45F9-BDA1-12C45D357490}">
          <x15:cacheHierarchy aggregatedColumn="12"/>
        </ext>
      </extLst>
    </cacheHierarchy>
    <cacheHierarchy uniqueName="[Measures].[Average of Operating Margin]" caption="Average of Operating Margin" measure="1" displayFolder="" measureGroup="Finance" count="0">
      <extLst>
        <ext xmlns:x15="http://schemas.microsoft.com/office/spreadsheetml/2010/11/main" uri="{B97F6D7D-B522-45F9-BDA1-12C45D357490}">
          <x15:cacheHierarchy aggregatedColumn="12"/>
        </ext>
      </extLst>
    </cacheHierarchy>
    <cacheHierarchy uniqueName="[Measures].[Sum of Operating_Expenses]" caption="Sum of Operating_Expenses" measure="1" displayFolder="" measureGroup="Finance" count="0">
      <extLst>
        <ext xmlns:x15="http://schemas.microsoft.com/office/spreadsheetml/2010/11/main" uri="{B97F6D7D-B522-45F9-BDA1-12C45D357490}">
          <x15:cacheHierarchy aggregatedColumn="4"/>
        </ext>
      </extLst>
    </cacheHierarchy>
    <cacheHierarchy uniqueName="[Measures].[Sum of Revenue]" caption="Sum of Revenue" measure="1" displayFolder="" measureGroup="Finance" count="0">
      <extLst>
        <ext xmlns:x15="http://schemas.microsoft.com/office/spreadsheetml/2010/11/main" uri="{B97F6D7D-B522-45F9-BDA1-12C45D357490}">
          <x15:cacheHierarchy aggregatedColumn="3"/>
        </ext>
      </extLst>
    </cacheHierarchy>
    <cacheHierarchy uniqueName="[Measures].[Sum of Net_Profit]" caption="Sum of Net_Profit" measure="1" displayFolder="" measureGroup="Finance" count="0">
      <extLst>
        <ext xmlns:x15="http://schemas.microsoft.com/office/spreadsheetml/2010/11/main" uri="{B97F6D7D-B522-45F9-BDA1-12C45D357490}">
          <x15:cacheHierarchy aggregatedColumn="6"/>
        </ext>
      </extLst>
    </cacheHierarchy>
    <cacheHierarchy uniqueName="[Measures].[NetProfit]" caption="NetProfit" measure="1" displayFolder="" measureGroup="Finance" count="0"/>
    <cacheHierarchy uniqueName="[Measures].[ROA]" caption="ROA" measure="1" displayFolder="" measureGroup="Finance" count="0"/>
    <cacheHierarchy uniqueName="[Measures].[ROE]" caption="ROE" measure="1" displayFolder="" measureGroup="Finance" count="0"/>
    <cacheHierarchy uniqueName="[Measures].[totalRevenue]" caption="totalRevenue" measure="1" displayFolder="" measureGroup="Finance" count="0"/>
    <cacheHierarchy uniqueName="[Measures].[TotalProfit]" caption="TotalProfit" measure="1" displayFolder="" measureGroup="Finance" count="0"/>
    <cacheHierarchy uniqueName="[Measures].[ProfitMargin]" caption="ProfitMargin" measure="1" displayFolder="" measureGroup="Finance" count="0"/>
    <cacheHierarchy uniqueName="[Measures].[__XL_Count Table1]" caption="__XL_Count Table1" measure="1" displayFolder="" measureGroup="Table1" count="0" hidden="1"/>
    <cacheHierarchy uniqueName="[Measures].[__XL_Count Finance]" caption="__XL_Count Finance" measure="1" displayFolder="" measureGroup="Financ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30065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05820A-2EEB-4722-9A09-C16A1402CF72}" name="PivotTable5" cacheId="2415" applyNumberFormats="0" applyBorderFormats="0" applyFontFormats="0" applyPatternFormats="0" applyAlignmentFormats="0" applyWidthHeightFormats="1" dataCaption="Values" tag="a782464a-35d5-446e-a0c3-adedd52c891f" updatedVersion="8" minRefreshableVersion="3" useAutoFormatting="1" subtotalHiddenItems="1" itemPrintTitles="1" createdVersion="8" indent="0" outline="1" outlineData="1" multipleFieldFilters="0" chartFormat="29">
  <location ref="E37:E3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506">
      <pivotArea outline="0" collapsedLevelsAreSubtotals="1" fieldPosition="0"/>
    </format>
    <format dxfId="507">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y dragToData="1" caption="Net_Profit"/>
    <pivotHierarchy dragToRow="0" dragToCol="0" dragToPage="0" dragToData="1"/>
    <pivotHierarchy dragToRow="0" dragToCol="0" dragToPage="0" dragToData="1"/>
    <pivotHierarchy dragToRow="0" dragToCol="0" dragToPage="0" dragToData="1"/>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4F0E5C-05D4-4116-974C-3D1BBB715F07}" name="PivotTable4" cacheId="2412" applyNumberFormats="0" applyBorderFormats="0" applyFontFormats="0" applyPatternFormats="0" applyAlignmentFormats="0" applyWidthHeightFormats="1" dataCaption="Values" tag="bc0a6b65-3084-4838-938f-a18ea299864c" updatedVersion="8" minRefreshableVersion="3" useAutoFormatting="1" subtotalHiddenItems="1" itemPrintTitles="1" createdVersion="8" indent="0" outline="1" outlineData="1" multipleFieldFilters="0" chartFormat="37">
  <location ref="J34:K4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numFmtId="9"/>
  </dataFields>
  <formats count="1">
    <format dxfId="905">
      <pivotArea outline="0" collapsedLevelsAreSubtotals="1" fieldPosition="0"/>
    </format>
  </formats>
  <chartFormats count="3">
    <chartFormat chart="29"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y dragToData="1" caption="Net_Profit"/>
    <pivotHierarchy dragToRow="0" dragToCol="0" dragToPage="0" dragToData="1"/>
    <pivotHierarchy dragToRow="0" dragToCol="0" dragToPage="0" dragToData="1"/>
    <pivotHierarchy dragToRow="0" dragToCol="0" dragToPage="0" dragToData="1"/>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DA28B8-1589-48F8-8E76-509B8DA67171}" name="PivotTable3" cacheId="2409" applyNumberFormats="0" applyBorderFormats="0" applyFontFormats="0" applyPatternFormats="0" applyAlignmentFormats="0" applyWidthHeightFormats="1" dataCaption="Values" tag="59caffb1-0a0a-46e9-b6a4-da6a6ff1a83c" updatedVersion="8" minRefreshableVersion="3" useAutoFormatting="1" subtotalHiddenItems="1" itemPrintTitles="1" createdVersion="8" indent="0" outline="1" outlineData="1" multipleFieldFilters="0" chartFormat="34">
  <location ref="K23:L2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formats count="7">
    <format dxfId="906">
      <pivotArea collapsedLevelsAreSubtotals="1" fieldPosition="0">
        <references count="2">
          <reference field="4294967294" count="1" selected="0">
            <x v="0"/>
          </reference>
          <reference field="0" count="1">
            <x v="1"/>
          </reference>
        </references>
      </pivotArea>
    </format>
    <format dxfId="907">
      <pivotArea collapsedLevelsAreSubtotals="1" fieldPosition="0">
        <references count="2">
          <reference field="4294967294" count="1" selected="0">
            <x v="0"/>
          </reference>
          <reference field="0" count="1">
            <x v="0"/>
          </reference>
        </references>
      </pivotArea>
    </format>
    <format dxfId="908">
      <pivotArea collapsedLevelsAreSubtotals="1" fieldPosition="0">
        <references count="2">
          <reference field="4294967294" count="1" selected="0">
            <x v="0"/>
          </reference>
          <reference field="0" count="1">
            <x v="2"/>
          </reference>
        </references>
      </pivotArea>
    </format>
    <format dxfId="909">
      <pivotArea collapsedLevelsAreSubtotals="1" fieldPosition="0">
        <references count="2">
          <reference field="4294967294" count="1" selected="0">
            <x v="0"/>
          </reference>
          <reference field="0" count="1">
            <x v="3"/>
          </reference>
        </references>
      </pivotArea>
    </format>
    <format dxfId="910">
      <pivotArea collapsedLevelsAreSubtotals="1" fieldPosition="0">
        <references count="2">
          <reference field="4294967294" count="1" selected="0">
            <x v="0"/>
          </reference>
          <reference field="0" count="1">
            <x v="4"/>
          </reference>
        </references>
      </pivotArea>
    </format>
    <format dxfId="911">
      <pivotArea field="0" grandRow="1" outline="0" collapsedLevelsAreSubtotals="1" axis="axisRow" fieldPosition="0">
        <references count="1">
          <reference field="4294967294" count="1" selected="0">
            <x v="0"/>
          </reference>
        </references>
      </pivotArea>
    </format>
    <format dxfId="912">
      <pivotArea outline="0" collapsedLevelsAreSubtotals="1" fieldPosition="0"/>
    </format>
  </formats>
  <chartFormats count="4">
    <chartFormat chart="16" format="4"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0396ED-8511-40ED-B3AA-7C4AC1FDFD50}" name="PivotTable2" cacheId="2406" applyNumberFormats="0" applyBorderFormats="0" applyFontFormats="0" applyPatternFormats="0" applyAlignmentFormats="0" applyWidthHeightFormats="1" dataCaption="Values" tag="59caffb1-0a0a-46e9-b6a4-da6a6ff1a83c" updatedVersion="8" minRefreshableVersion="3" useAutoFormatting="1" subtotalHiddenItems="1" itemPrintTitles="1" createdVersion="8" indent="0" outline="1" outlineData="1" multipleFieldFilters="0" chartFormat="35">
  <location ref="A32:B3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formats count="7">
    <format dxfId="913">
      <pivotArea collapsedLevelsAreSubtotals="1" fieldPosition="0">
        <references count="2">
          <reference field="4294967294" count="1" selected="0">
            <x v="0"/>
          </reference>
          <reference field="0" count="1">
            <x v="3"/>
          </reference>
        </references>
      </pivotArea>
    </format>
    <format dxfId="914">
      <pivotArea collapsedLevelsAreSubtotals="1" fieldPosition="0">
        <references count="2">
          <reference field="4294967294" count="1" selected="0">
            <x v="0"/>
          </reference>
          <reference field="0" count="1">
            <x v="2"/>
          </reference>
        </references>
      </pivotArea>
    </format>
    <format dxfId="915">
      <pivotArea collapsedLevelsAreSubtotals="1" fieldPosition="0">
        <references count="2">
          <reference field="4294967294" count="1" selected="0">
            <x v="0"/>
          </reference>
          <reference field="0" count="1">
            <x v="1"/>
          </reference>
        </references>
      </pivotArea>
    </format>
    <format dxfId="916">
      <pivotArea collapsedLevelsAreSubtotals="1" fieldPosition="0">
        <references count="2">
          <reference field="4294967294" count="1" selected="0">
            <x v="0"/>
          </reference>
          <reference field="0" count="1">
            <x v="0"/>
          </reference>
        </references>
      </pivotArea>
    </format>
    <format dxfId="917">
      <pivotArea collapsedLevelsAreSubtotals="1" fieldPosition="0">
        <references count="2">
          <reference field="4294967294" count="1" selected="0">
            <x v="0"/>
          </reference>
          <reference field="0" count="1">
            <x v="4"/>
          </reference>
        </references>
      </pivotArea>
    </format>
    <format dxfId="918">
      <pivotArea field="0" grandRow="1" outline="0" collapsedLevelsAreSubtotals="1" axis="axisRow" fieldPosition="0">
        <references count="1">
          <reference field="4294967294" count="1" selected="0">
            <x v="0"/>
          </reference>
        </references>
      </pivotArea>
    </format>
    <format dxfId="919">
      <pivotArea outline="0" collapsedLevelsAreSubtotals="1" fieldPosition="0"/>
    </format>
  </formats>
  <chartFormats count="14">
    <chartFormat chart="16" format="5"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0"/>
          </reference>
        </references>
      </pivotArea>
    </chartFormat>
    <chartFormat chart="30" format="12" series="1">
      <pivotArea type="data" outline="0" fieldPosition="0">
        <references count="1">
          <reference field="4294967294" count="1" selected="0">
            <x v="0"/>
          </reference>
        </references>
      </pivotArea>
    </chartFormat>
    <chartFormat chart="30" format="13">
      <pivotArea type="data" outline="0" fieldPosition="0">
        <references count="2">
          <reference field="4294967294" count="1" selected="0">
            <x v="0"/>
          </reference>
          <reference field="0" count="1" selected="0">
            <x v="0"/>
          </reference>
        </references>
      </pivotArea>
    </chartFormat>
    <chartFormat chart="30" format="14">
      <pivotArea type="data" outline="0" fieldPosition="0">
        <references count="2">
          <reference field="4294967294" count="1" selected="0">
            <x v="0"/>
          </reference>
          <reference field="0" count="1" selected="0">
            <x v="1"/>
          </reference>
        </references>
      </pivotArea>
    </chartFormat>
    <chartFormat chart="30" format="15">
      <pivotArea type="data" outline="0" fieldPosition="0">
        <references count="2">
          <reference field="4294967294" count="1" selected="0">
            <x v="0"/>
          </reference>
          <reference field="0" count="1" selected="0">
            <x v="2"/>
          </reference>
        </references>
      </pivotArea>
    </chartFormat>
    <chartFormat chart="30" format="16">
      <pivotArea type="data" outline="0" fieldPosition="0">
        <references count="2">
          <reference field="4294967294" count="1" selected="0">
            <x v="0"/>
          </reference>
          <reference field="0" count="1" selected="0">
            <x v="3"/>
          </reference>
        </references>
      </pivotArea>
    </chartFormat>
    <chartFormat chart="30" format="17">
      <pivotArea type="data" outline="0" fieldPosition="0">
        <references count="2">
          <reference field="4294967294" count="1" selected="0">
            <x v="0"/>
          </reference>
          <reference field="0" count="1" selected="0">
            <x v="4"/>
          </reference>
        </references>
      </pivotArea>
    </chartFormat>
    <chartFormat chart="34" format="12" series="1">
      <pivotArea type="data" outline="0" fieldPosition="0">
        <references count="1">
          <reference field="4294967294" count="1" selected="0">
            <x v="0"/>
          </reference>
        </references>
      </pivotArea>
    </chartFormat>
    <chartFormat chart="34" format="13">
      <pivotArea type="data" outline="0" fieldPosition="0">
        <references count="2">
          <reference field="4294967294" count="1" selected="0">
            <x v="0"/>
          </reference>
          <reference field="0" count="1" selected="0">
            <x v="0"/>
          </reference>
        </references>
      </pivotArea>
    </chartFormat>
    <chartFormat chart="34" format="14">
      <pivotArea type="data" outline="0" fieldPosition="0">
        <references count="2">
          <reference field="4294967294" count="1" selected="0">
            <x v="0"/>
          </reference>
          <reference field="0" count="1" selected="0">
            <x v="1"/>
          </reference>
        </references>
      </pivotArea>
    </chartFormat>
    <chartFormat chart="34" format="15">
      <pivotArea type="data" outline="0" fieldPosition="0">
        <references count="2">
          <reference field="4294967294" count="1" selected="0">
            <x v="0"/>
          </reference>
          <reference field="0" count="1" selected="0">
            <x v="2"/>
          </reference>
        </references>
      </pivotArea>
    </chartFormat>
    <chartFormat chart="34" format="16">
      <pivotArea type="data" outline="0" fieldPosition="0">
        <references count="2">
          <reference field="4294967294" count="1" selected="0">
            <x v="0"/>
          </reference>
          <reference field="0" count="1" selected="0">
            <x v="3"/>
          </reference>
        </references>
      </pivotArea>
    </chartFormat>
    <chartFormat chart="34" format="17">
      <pivotArea type="data" outline="0" fieldPosition="0">
        <references count="2">
          <reference field="4294967294" count="1" selected="0">
            <x v="0"/>
          </reference>
          <reference field="0" count="1" selected="0">
            <x v="4"/>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D832BE-870A-460C-A79D-DA2AD2031B3B}" name="PivotTable1" cacheId="2403" applyNumberFormats="0" applyBorderFormats="0" applyFontFormats="0" applyPatternFormats="0" applyAlignmentFormats="0" applyWidthHeightFormats="1" dataCaption="Values" tag="af6a82e0-b24f-4f09-9f80-789568a35dc6" updatedVersion="8" minRefreshableVersion="3" useAutoFormatting="1" subtotalHiddenItems="1" itemPrintTitles="1" createdVersion="8" indent="0" outline="1" outlineData="1" multipleFieldFilters="0" chartFormat="47">
  <location ref="K12:L1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Revenue" fld="1" baseField="0" baseItem="0"/>
  </dataFields>
  <formats count="1">
    <format dxfId="922">
      <pivotArea outline="0" collapsedLevelsAreSubtotals="1" fieldPosition="0"/>
    </format>
  </formats>
  <chartFormats count="4">
    <chartFormat chart="21" format="4" series="1">
      <pivotArea type="data" outline="0" fieldPosition="0">
        <references count="1">
          <reference field="4294967294" count="1" selected="0">
            <x v="0"/>
          </reference>
        </references>
      </pivotArea>
    </chartFormat>
    <chartFormat chart="28" format="9"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y dragToData="1" caption="Net_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FE2FBE-8D00-42B3-A62B-A64B7878930D}" name="PivotTable27" cacheId="2382" applyNumberFormats="0" applyBorderFormats="0" applyFontFormats="0" applyPatternFormats="0" applyAlignmentFormats="0" applyWidthHeightFormats="1" dataCaption="Values" tag="59caffb1-0a0a-46e9-b6a4-da6a6ff1a83c" updatedVersion="8" minRefreshableVersion="3" useAutoFormatting="1" subtotalHiddenItems="1" itemPrintTitles="1" createdVersion="8" indent="0" outline="1" outlineData="1" multipleFieldFilters="0" chartFormat="26">
  <location ref="A23:C29"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formats count="13">
    <format dxfId="937">
      <pivotArea collapsedLevelsAreSubtotals="1" fieldPosition="0">
        <references count="2">
          <reference field="4294967294" count="1" selected="0">
            <x v="0"/>
          </reference>
          <reference field="0" count="1">
            <x v="1"/>
          </reference>
        </references>
      </pivotArea>
    </format>
    <format dxfId="936">
      <pivotArea collapsedLevelsAreSubtotals="1" fieldPosition="0">
        <references count="2">
          <reference field="4294967294" count="1" selected="0">
            <x v="0"/>
          </reference>
          <reference field="0" count="1">
            <x v="0"/>
          </reference>
        </references>
      </pivotArea>
    </format>
    <format dxfId="935">
      <pivotArea collapsedLevelsAreSubtotals="1" fieldPosition="0">
        <references count="2">
          <reference field="4294967294" count="1" selected="0">
            <x v="0"/>
          </reference>
          <reference field="0" count="1">
            <x v="2"/>
          </reference>
        </references>
      </pivotArea>
    </format>
    <format dxfId="934">
      <pivotArea collapsedLevelsAreSubtotals="1" fieldPosition="0">
        <references count="2">
          <reference field="4294967294" count="1" selected="0">
            <x v="0"/>
          </reference>
          <reference field="0" count="1">
            <x v="3"/>
          </reference>
        </references>
      </pivotArea>
    </format>
    <format dxfId="933">
      <pivotArea collapsedLevelsAreSubtotals="1" fieldPosition="0">
        <references count="2">
          <reference field="4294967294" count="1" selected="0">
            <x v="0"/>
          </reference>
          <reference field="0" count="1">
            <x v="4"/>
          </reference>
        </references>
      </pivotArea>
    </format>
    <format dxfId="932">
      <pivotArea field="0" grandRow="1" outline="0" collapsedLevelsAreSubtotals="1" axis="axisRow" fieldPosition="0">
        <references count="1">
          <reference field="4294967294" count="1" selected="0">
            <x v="0"/>
          </reference>
        </references>
      </pivotArea>
    </format>
    <format dxfId="931">
      <pivotArea collapsedLevelsAreSubtotals="1" fieldPosition="0">
        <references count="2">
          <reference field="4294967294" count="1" selected="0">
            <x v="1"/>
          </reference>
          <reference field="0" count="1">
            <x v="3"/>
          </reference>
        </references>
      </pivotArea>
    </format>
    <format dxfId="930">
      <pivotArea collapsedLevelsAreSubtotals="1" fieldPosition="0">
        <references count="2">
          <reference field="4294967294" count="1" selected="0">
            <x v="1"/>
          </reference>
          <reference field="0" count="1">
            <x v="2"/>
          </reference>
        </references>
      </pivotArea>
    </format>
    <format dxfId="929">
      <pivotArea collapsedLevelsAreSubtotals="1" fieldPosition="0">
        <references count="2">
          <reference field="4294967294" count="1" selected="0">
            <x v="1"/>
          </reference>
          <reference field="0" count="1">
            <x v="1"/>
          </reference>
        </references>
      </pivotArea>
    </format>
    <format dxfId="928">
      <pivotArea collapsedLevelsAreSubtotals="1" fieldPosition="0">
        <references count="2">
          <reference field="4294967294" count="1" selected="0">
            <x v="1"/>
          </reference>
          <reference field="0" count="1">
            <x v="0"/>
          </reference>
        </references>
      </pivotArea>
    </format>
    <format dxfId="927">
      <pivotArea collapsedLevelsAreSubtotals="1" fieldPosition="0">
        <references count="2">
          <reference field="4294967294" count="1" selected="0">
            <x v="1"/>
          </reference>
          <reference field="0" count="1">
            <x v="4"/>
          </reference>
        </references>
      </pivotArea>
    </format>
    <format dxfId="926">
      <pivotArea field="0" grandRow="1" outline="0" collapsedLevelsAreSubtotals="1" axis="axisRow" fieldPosition="0">
        <references count="1">
          <reference field="4294967294" count="1" selected="0">
            <x v="1"/>
          </reference>
        </references>
      </pivotArea>
    </format>
    <format dxfId="925">
      <pivotArea outline="0" collapsedLevelsAreSubtotals="1" fieldPosition="0"/>
    </format>
  </formats>
  <chartFormats count="4">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22" format="8"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C2B37C-7C2C-4A3D-88C9-F77853019987}" name="PivotTable26" cacheId="2379" applyNumberFormats="0" applyBorderFormats="0" applyFontFormats="0" applyPatternFormats="0" applyAlignmentFormats="0" applyWidthHeightFormats="1" dataCaption="Values" tag="c3180594-4aa4-4fab-8a89-68147039ae71" updatedVersion="8" minRefreshableVersion="3" useAutoFormatting="1" subtotalHiddenItems="1" itemPrintTitles="1" createdVersion="8" indent="0" outline="1" outlineData="1" multipleFieldFilters="0" chartFormat="34">
  <location ref="D12:I19" firstHeaderRow="1" firstDataRow="2" firstDataCol="1"/>
  <pivotFields count="4">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5">
    <i>
      <x/>
    </i>
    <i>
      <x v="1"/>
    </i>
    <i>
      <x v="2"/>
    </i>
    <i>
      <x v="3"/>
    </i>
    <i t="grand">
      <x/>
    </i>
  </colItems>
  <dataFields count="1">
    <dataField name="Sum of Operating_Expenses" fld="2" showDataAs="percentOfCol" baseField="0" baseItem="0" numFmtId="10"/>
  </dataFields>
  <formats count="3">
    <format dxfId="940">
      <pivotArea outline="0" collapsedLevelsAreSubtotals="1" fieldPosition="0"/>
    </format>
    <format dxfId="939">
      <pivotArea outline="0" fieldPosition="0">
        <references count="1">
          <reference field="4294967294" count="1">
            <x v="0"/>
          </reference>
        </references>
      </pivotArea>
    </format>
    <format dxfId="938">
      <pivotArea collapsedLevelsAreSubtotals="1" fieldPosition="0">
        <references count="1">
          <reference field="0" count="0"/>
        </references>
      </pivotArea>
    </format>
  </formats>
  <chartFormats count="8">
    <chartFormat chart="21" format="8" series="1">
      <pivotArea type="data" outline="0" fieldPosition="0">
        <references count="2">
          <reference field="4294967294" count="1" selected="0">
            <x v="0"/>
          </reference>
          <reference field="1" count="1" selected="0">
            <x v="0"/>
          </reference>
        </references>
      </pivotArea>
    </chartFormat>
    <chartFormat chart="21" format="9" series="1">
      <pivotArea type="data" outline="0" fieldPosition="0">
        <references count="2">
          <reference field="4294967294" count="1" selected="0">
            <x v="0"/>
          </reference>
          <reference field="1" count="1" selected="0">
            <x v="1"/>
          </reference>
        </references>
      </pivotArea>
    </chartFormat>
    <chartFormat chart="21" format="10" series="1">
      <pivotArea type="data" outline="0" fieldPosition="0">
        <references count="2">
          <reference field="4294967294" count="1" selected="0">
            <x v="0"/>
          </reference>
          <reference field="1" count="1" selected="0">
            <x v="2"/>
          </reference>
        </references>
      </pivotArea>
    </chartFormat>
    <chartFormat chart="21" format="11" series="1">
      <pivotArea type="data" outline="0" fieldPosition="0">
        <references count="2">
          <reference field="4294967294" count="1" selected="0">
            <x v="0"/>
          </reference>
          <reference field="1" count="1" selected="0">
            <x v="3"/>
          </reference>
        </references>
      </pivotArea>
    </chartFormat>
    <chartFormat chart="29" format="16" series="1">
      <pivotArea type="data" outline="0" fieldPosition="0">
        <references count="2">
          <reference field="4294967294" count="1" selected="0">
            <x v="0"/>
          </reference>
          <reference field="1" count="1" selected="0">
            <x v="0"/>
          </reference>
        </references>
      </pivotArea>
    </chartFormat>
    <chartFormat chart="29" format="17" series="1">
      <pivotArea type="data" outline="0" fieldPosition="0">
        <references count="2">
          <reference field="4294967294" count="1" selected="0">
            <x v="0"/>
          </reference>
          <reference field="1" count="1" selected="0">
            <x v="1"/>
          </reference>
        </references>
      </pivotArea>
    </chartFormat>
    <chartFormat chart="29" format="18" series="1">
      <pivotArea type="data" outline="0" fieldPosition="0">
        <references count="2">
          <reference field="4294967294" count="1" selected="0">
            <x v="0"/>
          </reference>
          <reference field="1" count="1" selected="0">
            <x v="2"/>
          </reference>
        </references>
      </pivotArea>
    </chartFormat>
    <chartFormat chart="29" format="19" series="1">
      <pivotArea type="data" outline="0" fieldPosition="0">
        <references count="2">
          <reference field="4294967294" count="1" selected="0">
            <x v="0"/>
          </reference>
          <reference field="1" count="1" selected="0">
            <x v="3"/>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Operating Margin"/>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F29FE6-7F9B-4251-BE4A-540E4DB008C0}" name="PivotTable34" cacheId="2394" applyNumberFormats="0" applyBorderFormats="0" applyFontFormats="0" applyPatternFormats="0" applyAlignmentFormats="0" applyWidthHeightFormats="1" dataCaption="Values" tag="2ebdda58-c0fb-4034-9923-2bb5ef3b1e9a" updatedVersion="8" minRefreshableVersion="3" useAutoFormatting="1" subtotalHiddenItems="1" itemPrintTitles="1" createdVersion="8" indent="0" outline="1" outlineData="1" multipleFieldFilters="0" chartFormat="29">
  <location ref="G31:G3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2">
    <format dxfId="941">
      <pivotArea outline="0" collapsedLevelsAreSubtotals="1" fieldPosition="0"/>
    </format>
    <format dxfId="920">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y dragToData="1" caption="Net_Profit"/>
    <pivotHierarchy dragToRow="0" dragToCol="0" dragToPage="0" dragToData="1"/>
    <pivotHierarchy dragToRow="0" dragToCol="0" dragToPage="0" dragToData="1"/>
    <pivotHierarchy dragToRow="0" dragToCol="0" dragToPage="0" dragToData="1"/>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3CC293-0E12-4E08-AE9B-40C2B0AA686D}" name="PivotTable24" cacheId="2376" applyNumberFormats="0" applyBorderFormats="0" applyFontFormats="0" applyPatternFormats="0" applyAlignmentFormats="0" applyWidthHeightFormats="1" dataCaption="Values" tag="9e40cef0-1c50-43c5-b250-2168bb859e38" updatedVersion="8" minRefreshableVersion="3" useAutoFormatting="1" subtotalHiddenItems="1" itemPrintTitles="1" createdVersion="8" indent="0" outline="1" outlineData="1" multipleFieldFilters="0" chartFormat="17">
  <location ref="I3:J9" firstHeaderRow="1" firstDataRow="1" firstDataCol="1"/>
  <pivotFields count="3">
    <pivotField axis="axisRow" allDrilled="1" subtotalTop="0" showAll="0"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2"/>
    </i>
    <i>
      <x/>
    </i>
    <i>
      <x v="3"/>
    </i>
    <i>
      <x v="1"/>
    </i>
    <i t="grand">
      <x/>
    </i>
  </rowItems>
  <colItems count="1">
    <i/>
  </colItems>
  <dataFields count="1">
    <dataField name="Average of Operating Margin" fld="1" subtotal="average" baseField="0" baseItem="0" numFmtId="165"/>
  </dataFields>
  <formats count="1">
    <format dxfId="942">
      <pivotArea outline="0" collapsedLevelsAreSubtotals="1" fieldPosition="0"/>
    </format>
  </formats>
  <chartFormats count="1">
    <chartFormat chart="16"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Operating Margin"/>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1EDE23E-CF27-4D70-A6A5-A239F52A78B5}" name="PivotTable33" cacheId="2391" applyNumberFormats="0" applyBorderFormats="0" applyFontFormats="0" applyPatternFormats="0" applyAlignmentFormats="0" applyWidthHeightFormats="1" dataCaption="Values" tag="a782464a-35d5-446e-a0c3-adedd52c891f" updatedVersion="8" minRefreshableVersion="3" useAutoFormatting="1" subtotalHiddenItems="1" itemPrintTitles="1" createdVersion="8" indent="0" outline="1" outlineData="1" multipleFieldFilters="0" chartFormat="29">
  <location ref="I27:I2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943">
      <pivotArea outline="0" collapsedLevelsAreSubtotals="1" fieldPosition="0"/>
    </format>
    <format dxfId="921">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y dragToData="1" caption="Net_Profit"/>
    <pivotHierarchy dragToRow="0" dragToCol="0" dragToPage="0" dragToData="1"/>
    <pivotHierarchy dragToRow="0" dragToCol="0" dragToPage="0" dragToData="1"/>
    <pivotHierarchy dragToRow="0" dragToCol="0" dragToPage="0" dragToData="1"/>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29D83A3-71B4-4C97-B74C-E5EAEFC7210B}" name="PivotTable22" cacheId="2373" applyNumberFormats="0" applyBorderFormats="0" applyFontFormats="0" applyPatternFormats="0" applyAlignmentFormats="0" applyWidthHeightFormats="1" dataCaption="Values" tag="b2ca947e-2c90-4fee-a3ba-41d54b4f1cad" updatedVersion="8" minRefreshableVersion="3" useAutoFormatting="1" subtotalHiddenItems="1" itemPrintTitles="1" createdVersion="8" indent="0" outline="1" outlineData="1" multipleFieldFilters="0" chartFormat="12">
  <location ref="A12:B17"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i>
    <i>
      <x v="2"/>
    </i>
    <i>
      <x v="1"/>
    </i>
    <i>
      <x v="3"/>
    </i>
    <i t="grand">
      <x/>
    </i>
  </rowItems>
  <colItems count="1">
    <i/>
  </colItems>
  <dataFields count="1">
    <dataField name="Sum of Cost Efficiency" fld="0" baseField="0" baseItem="0"/>
  </dataFields>
  <formats count="1">
    <format dxfId="944">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C7EFA59-AEA0-4430-AFF1-8288C34455DE}" name="PivotTable29" cacheId="2388" applyNumberFormats="0" applyBorderFormats="0" applyFontFormats="0" applyPatternFormats="0" applyAlignmentFormats="0" applyWidthHeightFormats="1" dataCaption="Values" tag="9ef6545f-03b3-4f1b-8a97-a865e30e1b84" updatedVersion="8" minRefreshableVersion="3" useAutoFormatting="1" subtotalHiddenItems="1" itemPrintTitles="1" createdVersion="8" indent="0" outline="1" outlineData="1" multipleFieldFilters="0" chartFormat="29">
  <location ref="I23:I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Revenue" fld="0" subtotal="count" baseField="0" baseItem="0"/>
  </dataFields>
  <formats count="1">
    <format dxfId="945">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y dragToData="1" caption="Net_Profit"/>
    <pivotHierarchy dragToRow="0" dragToCol="0" dragToPage="0" dragToData="1"/>
    <pivotHierarchy dragToRow="0" dragToCol="0" dragToPage="0" dragToData="1"/>
    <pivotHierarchy dragToRow="0" dragToCol="0" dragToPage="0" dragToData="1"/>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D93C08F-0ABF-4D37-B7FE-8F1A0A48720A}" name="PivotTable36" cacheId="2400" applyNumberFormats="0" applyBorderFormats="0" applyFontFormats="0" applyPatternFormats="0" applyAlignmentFormats="0" applyWidthHeightFormats="1" dataCaption="Values" tag="bc0a6b65-3084-4838-938f-a18ea299864c" updatedVersion="8" minRefreshableVersion="3" useAutoFormatting="1" subtotalHiddenItems="1" itemPrintTitles="1" createdVersion="8" indent="0" outline="1" outlineData="1" multipleFieldFilters="0" chartFormat="29">
  <location ref="E34:E3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946">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y dragToData="1" caption="Net_Profit"/>
    <pivotHierarchy dragToRow="0" dragToCol="0" dragToPage="0" dragToData="1"/>
    <pivotHierarchy dragToRow="0" dragToCol="0" dragToPage="0" dragToData="1"/>
    <pivotHierarchy dragToRow="0" dragToCol="0" dragToPage="0" dragToData="1"/>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1688985-794B-47C3-AFF2-59796ECF11F9}" name="PivotTable21" cacheId="2370" applyNumberFormats="0" applyBorderFormats="0" applyFontFormats="0" applyPatternFormats="0" applyAlignmentFormats="0" applyWidthHeightFormats="1" dataCaption="Values" tag="214f6792-3647-4135-9f9a-ac3052c59c43" updatedVersion="8" minRefreshableVersion="3" useAutoFormatting="1" itemPrintTitles="1" createdVersion="8" indent="0" outline="1" outlineData="1" multipleFieldFilters="0" chartFormat="17">
  <location ref="E3:F8"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i>
    <i>
      <x v="3"/>
    </i>
    <i>
      <x v="2"/>
    </i>
    <i t="grand">
      <x/>
    </i>
  </rowItems>
  <colItems count="1">
    <i/>
  </colItems>
  <dataFields count="1">
    <dataField name="Sum of Cost Efficiency" fld="1" baseField="0" baseItem="0"/>
  </dataFields>
  <formats count="1">
    <format dxfId="947">
      <pivotArea outline="0" collapsedLevelsAreSubtotals="1" fieldPosition="0"/>
    </format>
  </formats>
  <chartFormats count="6">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0" count="1" selected="0">
            <x v="2"/>
          </reference>
        </references>
      </pivotArea>
    </chartFormat>
    <chartFormat chart="12" format="6">
      <pivotArea type="data" outline="0" fieldPosition="0">
        <references count="2">
          <reference field="4294967294" count="1" selected="0">
            <x v="0"/>
          </reference>
          <reference field="0" count="1" selected="0">
            <x v="3"/>
          </reference>
        </references>
      </pivotArea>
    </chartFormat>
    <chartFormat chart="12" format="7">
      <pivotArea type="data" outline="0" fieldPosition="0">
        <references count="2">
          <reference field="4294967294" count="1" selected="0">
            <x v="0"/>
          </reference>
          <reference field="0" count="1" selected="0">
            <x v="0"/>
          </reference>
        </references>
      </pivotArea>
    </chartFormat>
    <chartFormat chart="12" format="8">
      <pivotArea type="data" outline="0" fieldPosition="0">
        <references count="2">
          <reference field="4294967294" count="1" selected="0">
            <x v="0"/>
          </reference>
          <reference field="0"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36E660B-EFB1-4FF9-B7E2-C2D6C1FA95C1}" name="PivotTable28" cacheId="2385" applyNumberFormats="0" applyBorderFormats="0" applyFontFormats="0" applyPatternFormats="0" applyAlignmentFormats="0" applyWidthHeightFormats="1" dataCaption="Values" tag="af6a82e0-b24f-4f09-9f80-789568a35dc6" updatedVersion="8" minRefreshableVersion="3" useAutoFormatting="1" subtotalHiddenItems="1" itemPrintTitles="1" createdVersion="8" indent="0" outline="1" outlineData="1" multipleFieldFilters="0" chartFormat="29">
  <location ref="E23:G29"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Net_Profit" fld="2" baseField="0" baseItem="0"/>
    <dataField name="Revenue" fld="1" baseField="0" baseItem="0"/>
  </dataFields>
  <formats count="1">
    <format dxfId="948">
      <pivotArea outline="0" collapsedLevelsAreSubtotals="1" fieldPosition="0"/>
    </format>
  </formats>
  <chartFormats count="4">
    <chartFormat chart="21" format="4" series="1">
      <pivotArea type="data" outline="0" fieldPosition="0">
        <references count="1">
          <reference field="4294967294" count="1" selected="0">
            <x v="1"/>
          </reference>
        </references>
      </pivotArea>
    </chartFormat>
    <chartFormat chart="21" format="5" series="1">
      <pivotArea type="data" outline="0" fieldPosition="0">
        <references count="1">
          <reference field="4294967294" count="1" selected="0">
            <x v="0"/>
          </reference>
        </references>
      </pivotArea>
    </chartFormat>
    <chartFormat chart="28" format="8" series="1">
      <pivotArea type="data" outline="0" fieldPosition="0">
        <references count="1">
          <reference field="4294967294" count="1" selected="0">
            <x v="0"/>
          </reference>
        </references>
      </pivotArea>
    </chartFormat>
    <chartFormat chart="28" format="9" series="1">
      <pivotArea type="data" outline="0" fieldPosition="0">
        <references count="1">
          <reference field="4294967294"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y dragToData="1" caption="Net_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66A7BCE-24F8-447A-8CE4-BCEE363013BD}" name="PivotTable35" cacheId="2397" applyNumberFormats="0" applyBorderFormats="0" applyFontFormats="0" applyPatternFormats="0" applyAlignmentFormats="0" applyWidthHeightFormats="1" dataCaption="Values" tag="cf77c22e-ccc6-4455-9d83-34d735681866" updatedVersion="8" minRefreshableVersion="3" useAutoFormatting="1" subtotalHiddenItems="1" itemPrintTitles="1" createdVersion="8" indent="0" outline="1" outlineData="1" multipleFieldFilters="0" chartFormat="29">
  <location ref="I31:I3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949">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y dragToData="1" caption="Net_Profit"/>
    <pivotHierarchy dragToRow="0" dragToCol="0" dragToPage="0" dragToData="1"/>
    <pivotHierarchy dragToRow="0" dragToCol="0" dragToPage="0" dragToData="1"/>
    <pivotHierarchy dragToRow="0" dragToCol="0" dragToPage="0" dragToData="1"/>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80209E3-B1AE-4F84-B42E-A77BD6FFBD64}" name="PivotTable20" cacheId="2367" applyNumberFormats="0" applyBorderFormats="0" applyFontFormats="0" applyPatternFormats="0" applyAlignmentFormats="0" applyWidthHeightFormats="1" dataCaption="Values" tag="20b408d8-067b-4ace-90d7-9d30028e3e09" updatedVersion="8" minRefreshableVersion="3" useAutoFormatting="1" itemPrintTitles="1" createdVersion="8" indent="0" outline="1" outlineData="1" multipleFieldFilters="0" chartFormat="31">
  <location ref="A3:B9" firstHeaderRow="1" firstDataRow="1" firstDataCol="1"/>
  <pivotFields count="3">
    <pivotField axis="axisRow" allDrilled="1" subtotalTop="0" showAll="0" dataSourceSort="1" defaultSubtotal="0" defaultAttributeDrillState="1">
      <items count="5">
        <item x="0" e="0"/>
        <item x="1" e="0"/>
        <item x="2" e="0"/>
        <item x="3" e="0"/>
        <item x="4" e="0"/>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numFmtId="164"/>
  </dataFields>
  <formats count="1">
    <format dxfId="950">
      <pivotArea outline="0" collapsedLevelsAreSubtotals="1" fieldPosition="0"/>
    </format>
  </formats>
  <chartFormats count="5">
    <chartFormat chart="4"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0" count="1" selected="0">
            <x v="4"/>
          </reference>
        </references>
      </pivotArea>
    </chartFormat>
    <chartFormat chart="25"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nc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2F035D1-6DF7-43D8-94AC-AEBECE00AC0F}" autoFormatId="16" applyNumberFormats="0" applyBorderFormats="0" applyFontFormats="0" applyPatternFormats="0" applyAlignmentFormats="0" applyWidthHeightFormats="0">
  <queryTableRefresh nextId="11">
    <queryTableFields count="10">
      <queryTableField id="1" name="Date" tableColumnId="1"/>
      <queryTableField id="2" name="Region" tableColumnId="2"/>
      <queryTableField id="3" name="Department" tableColumnId="3"/>
      <queryTableField id="4" name="Revenue" tableColumnId="4"/>
      <queryTableField id="5" name="Operating_Expenses" tableColumnId="5"/>
      <queryTableField id="6" name="Gross_Profit" tableColumnId="6"/>
      <queryTableField id="7" name="Net_Profit" tableColumnId="7"/>
      <queryTableField id="8" name="Assets" tableColumnId="8"/>
      <queryTableField id="9" name="Liabilities" tableColumnId="9"/>
      <queryTableField id="10" name="Equity"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F3D4D0E-EE13-4F97-B4CA-55FAB0B79EF7}" sourceName="[Finance].[Date (Month)]">
  <pivotTables>
    <pivotTable tabId="3" name="PivotTable20"/>
    <pivotTable tabId="3" name="PivotTable21"/>
    <pivotTable tabId="3" name="PivotTable22"/>
    <pivotTable tabId="3" name="PivotTable24"/>
    <pivotTable tabId="3" name="PivotTable26"/>
    <pivotTable tabId="3" name="PivotTable27"/>
    <pivotTable tabId="3" name="PivotTable28"/>
    <pivotTable tabId="3" name="PivotTable29"/>
    <pivotTable tabId="3" name="PivotTable33"/>
    <pivotTable tabId="3" name="PivotTable34"/>
    <pivotTable tabId="3" name="PivotTable35"/>
    <pivotTable tabId="3" name="PivotTable36"/>
    <pivotTable tabId="3" name="PivotTable1"/>
    <pivotTable tabId="3" name="PivotTable2"/>
    <pivotTable tabId="3" name="PivotTable3"/>
    <pivotTable tabId="3" name="PivotTable4"/>
    <pivotTable tabId="3" name="PivotTable5"/>
  </pivotTables>
  <data>
    <olap pivotCacheId="133006524">
      <levels count="2">
        <level uniqueName="[Finance].[Date (Month)].[(All)]" sourceCaption="(All)" count="0"/>
        <level uniqueName="[Finance].[Date (Month)].[Date (Month)]" sourceCaption="Date (Month)" count="12">
          <ranges>
            <range startItem="0">
              <i n="[Finance].[Date (Month)].&amp;[Jan]" c="Jan"/>
              <i n="[Finance].[Date (Month)].&amp;[Feb]" c="Feb"/>
              <i n="[Finance].[Date (Month)].&amp;[Mar]" c="Mar"/>
              <i n="[Finance].[Date (Month)].&amp;[Apr]" c="Apr"/>
              <i n="[Finance].[Date (Month)].&amp;[May]" c="May"/>
              <i n="[Finance].[Date (Month)].&amp;[Jun]" c="Jun"/>
              <i n="[Finance].[Date (Month)].&amp;[Jul]" c="Jul"/>
              <i n="[Finance].[Date (Month)].&amp;[Aug]" c="Aug"/>
              <i n="[Finance].[Date (Month)].&amp;[Sep]" c="Sep"/>
              <i n="[Finance].[Date (Month)].&amp;[Oct]" c="Oct"/>
              <i n="[Finance].[Date (Month)].&amp;[Nov]" c="Nov"/>
              <i n="[Finance].[Date (Month)].&amp;[Dec]" c="Dec"/>
            </range>
          </ranges>
        </level>
      </levels>
      <selections count="1">
        <selection n="[Financ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4B008D-BBD7-40E0-8A2E-0D6F39314C8B}" sourceName="[Finance].[Region]">
  <pivotTables>
    <pivotTable tabId="3" name="PivotTable20"/>
  </pivotTables>
  <data>
    <olap pivotCacheId="133006524">
      <levels count="2">
        <level uniqueName="[Finance].[Region].[(All)]" sourceCaption="(All)" count="0"/>
        <level uniqueName="[Finance].[Region].[Region]" sourceCaption="Region" count="4">
          <ranges>
            <range startItem="0">
              <i n="[Finance].[Region].&amp;[East]" c="East"/>
              <i n="[Finance].[Region].&amp;[North]" c="North"/>
              <i n="[Finance].[Region].&amp;[South]" c="South"/>
              <i n="[Finance].[Region].&amp;[West]" c="West"/>
            </range>
          </ranges>
        </level>
      </levels>
      <selections count="1">
        <selection n="[Financ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1AA2E565-3699-4208-A31C-87CBACF8C122}" cache="Slicer_Date__Month" caption="Month" level="1" style="Slicer Style 1" rowHeight="241300"/>
  <slicer name="Region" xr10:uid="{E144CDDA-02C9-4ACE-8CB9-1B2D15BC1E44}" cache="Slicer_Region" caption="Region" level="1"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80C451-FF9C-4FEF-B9D6-A059837C9F14}" name="Finance" displayName="Finance" ref="A1:J961" tableType="queryTable" totalsRowShown="0">
  <autoFilter ref="A1:J961" xr:uid="{3680C451-FF9C-4FEF-B9D6-A059837C9F14}"/>
  <tableColumns count="10">
    <tableColumn id="1" xr3:uid="{0CFDDF12-782B-49E5-8647-440DED42B103}" uniqueName="1" name="Date" queryTableFieldId="1" dataDxfId="957"/>
    <tableColumn id="2" xr3:uid="{353E7C59-BE17-4744-AC10-4CE5D15F91D7}" uniqueName="2" name="Region" queryTableFieldId="2" dataDxfId="956"/>
    <tableColumn id="3" xr3:uid="{214608E8-3EEF-4E43-8B6D-2C1C9C64A045}" uniqueName="3" name="Department" queryTableFieldId="3" dataDxfId="955"/>
    <tableColumn id="4" xr3:uid="{D39E0839-CBBE-43B9-88FA-BBE7C9EC78C7}" uniqueName="4" name="Revenue" queryTableFieldId="4"/>
    <tableColumn id="5" xr3:uid="{487AC836-B150-48E5-9660-FC12E8299420}" uniqueName="5" name="Operating_Expenses" queryTableFieldId="5"/>
    <tableColumn id="6" xr3:uid="{7B99BA25-ADDA-46B5-9EBA-1AFEC91EAC5E}" uniqueName="6" name="Gross_Profit" queryTableFieldId="6"/>
    <tableColumn id="7" xr3:uid="{8EFF6F80-4B61-4A93-8150-F86E0A1DB4E8}" uniqueName="7" name="Net_Profit" queryTableFieldId="7"/>
    <tableColumn id="8" xr3:uid="{EFE04EFF-39E5-401A-B0A6-BA1AD35A3A24}" uniqueName="8" name="Assets" queryTableFieldId="8"/>
    <tableColumn id="9" xr3:uid="{AF6FE6ED-5160-4C28-9FC7-F1A67C76A717}" uniqueName="9" name="Liabilities" queryTableFieldId="9"/>
    <tableColumn id="10" xr3:uid="{9B3948A7-7C57-4846-A373-3C03B7BC0E81}" uniqueName="10" name="Equity"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8B97F8-3899-4398-9DF0-5DD1EEAADB30}" name="Table3" displayName="Table3" ref="A1:E85" totalsRowShown="0">
  <autoFilter ref="A1:E85" xr:uid="{458B97F8-3899-4398-9DF0-5DD1EEAADB30}"/>
  <tableColumns count="5">
    <tableColumn id="1" xr3:uid="{33BC8B40-6DF2-49A6-8359-673272476A75}" name="Date" dataDxfId="954"/>
    <tableColumn id="2" xr3:uid="{5123CA07-C426-44B3-8F19-057484B8CC90}" name="Revenue"/>
    <tableColumn id="3" xr3:uid="{3AAD275B-D120-4B26-B65E-454C095F7C54}" name="Forecast(Revenue)">
      <calculatedColumnFormula>_xlfn.FORECAST.ETS(A2,$B$2:$B$61,$A$2:$A$61,12,1)</calculatedColumnFormula>
    </tableColumn>
    <tableColumn id="4" xr3:uid="{8D9341F2-40E9-4DC0-B199-1D00B9562C52}" name="Lower Confidence Bound(Revenue)" dataDxfId="953">
      <calculatedColumnFormula>C2-_xlfn.FORECAST.ETS.CONFINT(A2,$B$2:$B$61,$A$2:$A$61,0.95,12,1)</calculatedColumnFormula>
    </tableColumn>
    <tableColumn id="5" xr3:uid="{D4E1BE76-8914-4637-B0A8-C15D1906FF45}" name="Upper Confidence Bound(Revenue)" dataDxfId="952">
      <calculatedColumnFormula>C2+_xlfn.FORECAST.ETS.CONFINT(A2,$B$2:$B$61,$A$2:$A$61,0.95,12,1)</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267946-5C78-437C-B645-744955585F39}" name="Table4" displayName="Table4" ref="G1:H8" totalsRowShown="0">
  <autoFilter ref="G1:H8" xr:uid="{EA267946-5C78-437C-B645-744955585F39}"/>
  <tableColumns count="2">
    <tableColumn id="1" xr3:uid="{E82A8C92-6939-409A-8F58-C187550ACB2C}" name="Statistic"/>
    <tableColumn id="2" xr3:uid="{B5B2AA69-3598-4B2D-8084-F20C66EAD872}" name="Value" dataDxfId="951"/>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9579B-84EC-4494-8A7C-B41FC6B9B416}">
  <dimension ref="A1:J961"/>
  <sheetViews>
    <sheetView workbookViewId="0">
      <selection activeCell="D1" activeCellId="1" sqref="A1:A1048576 D1:D1048576"/>
    </sheetView>
  </sheetViews>
  <sheetFormatPr defaultRowHeight="15" x14ac:dyDescent="0.25"/>
  <cols>
    <col min="1" max="1" width="10.7109375" style="1" bestFit="1" customWidth="1"/>
    <col min="2" max="2" width="9.42578125" bestFit="1" customWidth="1"/>
    <col min="3" max="3" width="14" bestFit="1" customWidth="1"/>
    <col min="4" max="4" width="11.140625" bestFit="1" customWidth="1"/>
    <col min="5" max="5" width="21.7109375" bestFit="1" customWidth="1"/>
    <col min="6" max="6" width="14.28515625" bestFit="1" customWidth="1"/>
    <col min="7" max="7" width="12.5703125" bestFit="1" customWidth="1"/>
    <col min="8" max="8" width="9" bestFit="1" customWidth="1"/>
    <col min="9" max="9" width="11.85546875" bestFit="1" customWidth="1"/>
    <col min="10" max="10" width="8.85546875" bestFit="1" customWidth="1"/>
  </cols>
  <sheetData>
    <row r="1" spans="1:10" x14ac:dyDescent="0.25">
      <c r="A1" s="1" t="s">
        <v>0</v>
      </c>
      <c r="B1" t="s">
        <v>1</v>
      </c>
      <c r="C1" t="s">
        <v>2</v>
      </c>
      <c r="D1" t="s">
        <v>3</v>
      </c>
      <c r="E1" t="s">
        <v>4</v>
      </c>
      <c r="F1" t="s">
        <v>5</v>
      </c>
      <c r="G1" t="s">
        <v>6</v>
      </c>
      <c r="H1" t="s">
        <v>7</v>
      </c>
      <c r="I1" t="s">
        <v>8</v>
      </c>
      <c r="J1" t="s">
        <v>9</v>
      </c>
    </row>
    <row r="2" spans="1:10" x14ac:dyDescent="0.25">
      <c r="A2" s="1">
        <v>43131</v>
      </c>
      <c r="B2" t="s">
        <v>10</v>
      </c>
      <c r="C2" t="s">
        <v>14</v>
      </c>
      <c r="D2">
        <v>115795</v>
      </c>
      <c r="E2">
        <v>60860</v>
      </c>
      <c r="F2">
        <v>54935</v>
      </c>
      <c r="G2">
        <v>44545</v>
      </c>
      <c r="H2">
        <v>459178</v>
      </c>
      <c r="I2">
        <v>744167</v>
      </c>
      <c r="J2">
        <v>-284989</v>
      </c>
    </row>
    <row r="3" spans="1:10" x14ac:dyDescent="0.25">
      <c r="A3" s="1">
        <v>43131</v>
      </c>
      <c r="B3" t="s">
        <v>10</v>
      </c>
      <c r="C3" t="s">
        <v>15</v>
      </c>
      <c r="D3">
        <v>176820</v>
      </c>
      <c r="E3">
        <v>114886</v>
      </c>
      <c r="F3">
        <v>61934</v>
      </c>
      <c r="G3">
        <v>50669</v>
      </c>
      <c r="H3">
        <v>721430</v>
      </c>
      <c r="I3">
        <v>187498</v>
      </c>
      <c r="J3">
        <v>533932</v>
      </c>
    </row>
    <row r="4" spans="1:10" x14ac:dyDescent="0.25">
      <c r="A4" s="1">
        <v>43131</v>
      </c>
      <c r="B4" t="s">
        <v>10</v>
      </c>
      <c r="C4" t="s">
        <v>16</v>
      </c>
      <c r="D4">
        <v>144131</v>
      </c>
      <c r="E4">
        <v>120263</v>
      </c>
      <c r="F4">
        <v>23868</v>
      </c>
      <c r="G4">
        <v>10546</v>
      </c>
      <c r="H4">
        <v>529365</v>
      </c>
      <c r="I4">
        <v>164820</v>
      </c>
      <c r="J4">
        <v>364545</v>
      </c>
    </row>
    <row r="5" spans="1:10" x14ac:dyDescent="0.25">
      <c r="A5" s="1">
        <v>43131</v>
      </c>
      <c r="B5" t="s">
        <v>10</v>
      </c>
      <c r="C5" t="s">
        <v>17</v>
      </c>
      <c r="D5">
        <v>100769</v>
      </c>
      <c r="E5">
        <v>119735</v>
      </c>
      <c r="F5">
        <v>-18966</v>
      </c>
      <c r="G5">
        <v>-37769</v>
      </c>
      <c r="H5">
        <v>527069</v>
      </c>
      <c r="I5">
        <v>299041</v>
      </c>
      <c r="J5">
        <v>228028</v>
      </c>
    </row>
    <row r="6" spans="1:10" x14ac:dyDescent="0.25">
      <c r="A6" s="1">
        <v>43131</v>
      </c>
      <c r="B6" t="s">
        <v>11</v>
      </c>
      <c r="C6" t="s">
        <v>14</v>
      </c>
      <c r="D6">
        <v>105311</v>
      </c>
      <c r="E6">
        <v>143104</v>
      </c>
      <c r="F6">
        <v>-37793</v>
      </c>
      <c r="G6">
        <v>-47348</v>
      </c>
      <c r="H6">
        <v>547449</v>
      </c>
      <c r="I6">
        <v>521909</v>
      </c>
      <c r="J6">
        <v>25540</v>
      </c>
    </row>
    <row r="7" spans="1:10" x14ac:dyDescent="0.25">
      <c r="A7" s="1">
        <v>43131</v>
      </c>
      <c r="B7" t="s">
        <v>11</v>
      </c>
      <c r="C7" t="s">
        <v>15</v>
      </c>
      <c r="D7">
        <v>171932</v>
      </c>
      <c r="E7">
        <v>153016</v>
      </c>
      <c r="F7">
        <v>18916</v>
      </c>
      <c r="G7">
        <v>5250</v>
      </c>
      <c r="H7">
        <v>356730</v>
      </c>
      <c r="I7">
        <v>484681</v>
      </c>
      <c r="J7">
        <v>-127951</v>
      </c>
    </row>
    <row r="8" spans="1:10" x14ac:dyDescent="0.25">
      <c r="A8" s="1">
        <v>43131</v>
      </c>
      <c r="B8" t="s">
        <v>11</v>
      </c>
      <c r="C8" t="s">
        <v>16</v>
      </c>
      <c r="D8">
        <v>118431</v>
      </c>
      <c r="E8">
        <v>62747</v>
      </c>
      <c r="F8">
        <v>55684</v>
      </c>
      <c r="G8">
        <v>41517</v>
      </c>
      <c r="H8">
        <v>652366</v>
      </c>
      <c r="I8">
        <v>165725</v>
      </c>
      <c r="J8">
        <v>486641</v>
      </c>
    </row>
    <row r="9" spans="1:10" x14ac:dyDescent="0.25">
      <c r="A9" s="1">
        <v>43131</v>
      </c>
      <c r="B9" t="s">
        <v>11</v>
      </c>
      <c r="C9" t="s">
        <v>17</v>
      </c>
      <c r="D9">
        <v>184654</v>
      </c>
      <c r="E9">
        <v>95773</v>
      </c>
      <c r="F9">
        <v>88881</v>
      </c>
      <c r="G9">
        <v>79223</v>
      </c>
      <c r="H9">
        <v>791723</v>
      </c>
      <c r="I9">
        <v>419030</v>
      </c>
      <c r="J9">
        <v>372693</v>
      </c>
    </row>
    <row r="10" spans="1:10" x14ac:dyDescent="0.25">
      <c r="A10" s="1">
        <v>43131</v>
      </c>
      <c r="B10" t="s">
        <v>12</v>
      </c>
      <c r="C10" t="s">
        <v>14</v>
      </c>
      <c r="D10">
        <v>166803</v>
      </c>
      <c r="E10">
        <v>91551</v>
      </c>
      <c r="F10">
        <v>75252</v>
      </c>
      <c r="G10">
        <v>68724</v>
      </c>
      <c r="H10">
        <v>473538</v>
      </c>
      <c r="I10">
        <v>431236</v>
      </c>
      <c r="J10">
        <v>42302</v>
      </c>
    </row>
    <row r="11" spans="1:10" x14ac:dyDescent="0.25">
      <c r="A11" s="1">
        <v>43131</v>
      </c>
      <c r="B11" t="s">
        <v>12</v>
      </c>
      <c r="C11" t="s">
        <v>15</v>
      </c>
      <c r="D11">
        <v>103890</v>
      </c>
      <c r="E11">
        <v>101606</v>
      </c>
      <c r="F11">
        <v>2284</v>
      </c>
      <c r="G11">
        <v>-17072</v>
      </c>
      <c r="H11">
        <v>456840</v>
      </c>
      <c r="I11">
        <v>573254</v>
      </c>
      <c r="J11">
        <v>-116414</v>
      </c>
    </row>
    <row r="12" spans="1:10" x14ac:dyDescent="0.25">
      <c r="A12" s="1">
        <v>43131</v>
      </c>
      <c r="B12" t="s">
        <v>12</v>
      </c>
      <c r="C12" t="s">
        <v>16</v>
      </c>
      <c r="D12">
        <v>187313</v>
      </c>
      <c r="E12">
        <v>70627</v>
      </c>
      <c r="F12">
        <v>116686</v>
      </c>
      <c r="G12">
        <v>102894</v>
      </c>
      <c r="H12">
        <v>439931</v>
      </c>
      <c r="I12">
        <v>339629</v>
      </c>
      <c r="J12">
        <v>100302</v>
      </c>
    </row>
    <row r="13" spans="1:10" x14ac:dyDescent="0.25">
      <c r="A13" s="1">
        <v>43131</v>
      </c>
      <c r="B13" t="s">
        <v>12</v>
      </c>
      <c r="C13" t="s">
        <v>17</v>
      </c>
      <c r="D13">
        <v>173969</v>
      </c>
      <c r="E13">
        <v>103001</v>
      </c>
      <c r="F13">
        <v>70968</v>
      </c>
      <c r="G13">
        <v>54952</v>
      </c>
      <c r="H13">
        <v>617113</v>
      </c>
      <c r="I13">
        <v>168148</v>
      </c>
      <c r="J13">
        <v>448965</v>
      </c>
    </row>
    <row r="14" spans="1:10" x14ac:dyDescent="0.25">
      <c r="A14" s="1">
        <v>43131</v>
      </c>
      <c r="B14" t="s">
        <v>13</v>
      </c>
      <c r="C14" t="s">
        <v>14</v>
      </c>
      <c r="D14">
        <v>123483</v>
      </c>
      <c r="E14">
        <v>108555</v>
      </c>
      <c r="F14">
        <v>14928</v>
      </c>
      <c r="G14">
        <v>-820</v>
      </c>
      <c r="H14">
        <v>306530</v>
      </c>
      <c r="I14">
        <v>704365</v>
      </c>
      <c r="J14">
        <v>-397835</v>
      </c>
    </row>
    <row r="15" spans="1:10" x14ac:dyDescent="0.25">
      <c r="A15" s="1">
        <v>43131</v>
      </c>
      <c r="B15" t="s">
        <v>13</v>
      </c>
      <c r="C15" t="s">
        <v>15</v>
      </c>
      <c r="D15">
        <v>135920</v>
      </c>
      <c r="E15">
        <v>152067</v>
      </c>
      <c r="F15">
        <v>-16147</v>
      </c>
      <c r="G15">
        <v>-22732</v>
      </c>
      <c r="H15">
        <v>924839</v>
      </c>
      <c r="I15">
        <v>559773</v>
      </c>
      <c r="J15">
        <v>365066</v>
      </c>
    </row>
    <row r="16" spans="1:10" x14ac:dyDescent="0.25">
      <c r="A16" s="1">
        <v>43131</v>
      </c>
      <c r="B16" t="s">
        <v>13</v>
      </c>
      <c r="C16" t="s">
        <v>16</v>
      </c>
      <c r="D16">
        <v>177189</v>
      </c>
      <c r="E16">
        <v>138953</v>
      </c>
      <c r="F16">
        <v>38236</v>
      </c>
      <c r="G16">
        <v>29393</v>
      </c>
      <c r="H16">
        <v>371829</v>
      </c>
      <c r="I16">
        <v>371836</v>
      </c>
      <c r="J16">
        <v>-7</v>
      </c>
    </row>
    <row r="17" spans="1:10" x14ac:dyDescent="0.25">
      <c r="A17" s="1">
        <v>43131</v>
      </c>
      <c r="B17" t="s">
        <v>13</v>
      </c>
      <c r="C17" t="s">
        <v>17</v>
      </c>
      <c r="D17">
        <v>145758</v>
      </c>
      <c r="E17">
        <v>132409</v>
      </c>
      <c r="F17">
        <v>13349</v>
      </c>
      <c r="G17">
        <v>2674</v>
      </c>
      <c r="H17">
        <v>396769</v>
      </c>
      <c r="I17">
        <v>661353</v>
      </c>
      <c r="J17">
        <v>-264584</v>
      </c>
    </row>
    <row r="18" spans="1:10" x14ac:dyDescent="0.25">
      <c r="A18" s="1">
        <v>43159</v>
      </c>
      <c r="B18" t="s">
        <v>10</v>
      </c>
      <c r="C18" t="s">
        <v>14</v>
      </c>
      <c r="D18">
        <v>192093</v>
      </c>
      <c r="E18">
        <v>159299</v>
      </c>
      <c r="F18">
        <v>32794</v>
      </c>
      <c r="G18">
        <v>13189</v>
      </c>
      <c r="H18">
        <v>735822</v>
      </c>
      <c r="I18">
        <v>587879</v>
      </c>
      <c r="J18">
        <v>147943</v>
      </c>
    </row>
    <row r="19" spans="1:10" x14ac:dyDescent="0.25">
      <c r="A19" s="1">
        <v>43159</v>
      </c>
      <c r="B19" t="s">
        <v>10</v>
      </c>
      <c r="C19" t="s">
        <v>15</v>
      </c>
      <c r="D19">
        <v>140397</v>
      </c>
      <c r="E19">
        <v>151387</v>
      </c>
      <c r="F19">
        <v>-10990</v>
      </c>
      <c r="G19">
        <v>-17006</v>
      </c>
      <c r="H19">
        <v>779879</v>
      </c>
      <c r="I19">
        <v>320884</v>
      </c>
      <c r="J19">
        <v>458995</v>
      </c>
    </row>
    <row r="20" spans="1:10" x14ac:dyDescent="0.25">
      <c r="A20" s="1">
        <v>43159</v>
      </c>
      <c r="B20" t="s">
        <v>10</v>
      </c>
      <c r="C20" t="s">
        <v>16</v>
      </c>
      <c r="D20">
        <v>123247</v>
      </c>
      <c r="E20">
        <v>84300</v>
      </c>
      <c r="F20">
        <v>38947</v>
      </c>
      <c r="G20">
        <v>25418</v>
      </c>
      <c r="H20">
        <v>807086</v>
      </c>
      <c r="I20">
        <v>633556</v>
      </c>
      <c r="J20">
        <v>173530</v>
      </c>
    </row>
    <row r="21" spans="1:10" x14ac:dyDescent="0.25">
      <c r="A21" s="1">
        <v>43159</v>
      </c>
      <c r="B21" t="s">
        <v>10</v>
      </c>
      <c r="C21" t="s">
        <v>17</v>
      </c>
      <c r="D21">
        <v>186807</v>
      </c>
      <c r="E21">
        <v>72185</v>
      </c>
      <c r="F21">
        <v>114622</v>
      </c>
      <c r="G21">
        <v>95070</v>
      </c>
      <c r="H21">
        <v>942139</v>
      </c>
      <c r="I21">
        <v>532315</v>
      </c>
      <c r="J21">
        <v>409824</v>
      </c>
    </row>
    <row r="22" spans="1:10" x14ac:dyDescent="0.25">
      <c r="A22" s="1">
        <v>43159</v>
      </c>
      <c r="B22" t="s">
        <v>11</v>
      </c>
      <c r="C22" t="s">
        <v>14</v>
      </c>
      <c r="D22">
        <v>108571</v>
      </c>
      <c r="E22">
        <v>98044</v>
      </c>
      <c r="F22">
        <v>10527</v>
      </c>
      <c r="G22">
        <v>3465</v>
      </c>
      <c r="H22">
        <v>576896</v>
      </c>
      <c r="I22">
        <v>148984</v>
      </c>
      <c r="J22">
        <v>427912</v>
      </c>
    </row>
    <row r="23" spans="1:10" x14ac:dyDescent="0.25">
      <c r="A23" s="1">
        <v>43159</v>
      </c>
      <c r="B23" t="s">
        <v>11</v>
      </c>
      <c r="C23" t="s">
        <v>15</v>
      </c>
      <c r="D23">
        <v>140774</v>
      </c>
      <c r="E23">
        <v>62568</v>
      </c>
      <c r="F23">
        <v>78206</v>
      </c>
      <c r="G23">
        <v>67743</v>
      </c>
      <c r="H23">
        <v>655808</v>
      </c>
      <c r="I23">
        <v>233767</v>
      </c>
      <c r="J23">
        <v>422041</v>
      </c>
    </row>
    <row r="24" spans="1:10" x14ac:dyDescent="0.25">
      <c r="A24" s="1">
        <v>43159</v>
      </c>
      <c r="B24" t="s">
        <v>11</v>
      </c>
      <c r="C24" t="s">
        <v>16</v>
      </c>
      <c r="D24">
        <v>148190</v>
      </c>
      <c r="E24">
        <v>65258</v>
      </c>
      <c r="F24">
        <v>82932</v>
      </c>
      <c r="G24">
        <v>72314</v>
      </c>
      <c r="H24">
        <v>501648</v>
      </c>
      <c r="I24">
        <v>788519</v>
      </c>
      <c r="J24">
        <v>-286871</v>
      </c>
    </row>
    <row r="25" spans="1:10" x14ac:dyDescent="0.25">
      <c r="A25" s="1">
        <v>43159</v>
      </c>
      <c r="B25" t="s">
        <v>11</v>
      </c>
      <c r="C25" t="s">
        <v>17</v>
      </c>
      <c r="D25">
        <v>113986</v>
      </c>
      <c r="E25">
        <v>121858</v>
      </c>
      <c r="F25">
        <v>-7872</v>
      </c>
      <c r="G25">
        <v>-27496</v>
      </c>
      <c r="H25">
        <v>212666</v>
      </c>
      <c r="I25">
        <v>400804</v>
      </c>
      <c r="J25">
        <v>-188138</v>
      </c>
    </row>
    <row r="26" spans="1:10" x14ac:dyDescent="0.25">
      <c r="A26" s="1">
        <v>43159</v>
      </c>
      <c r="B26" t="s">
        <v>12</v>
      </c>
      <c r="C26" t="s">
        <v>14</v>
      </c>
      <c r="D26">
        <v>103561</v>
      </c>
      <c r="E26">
        <v>86854</v>
      </c>
      <c r="F26">
        <v>16707</v>
      </c>
      <c r="G26">
        <v>5523</v>
      </c>
      <c r="H26">
        <v>907611</v>
      </c>
      <c r="I26">
        <v>384806</v>
      </c>
      <c r="J26">
        <v>522805</v>
      </c>
    </row>
    <row r="27" spans="1:10" x14ac:dyDescent="0.25">
      <c r="A27" s="1">
        <v>43159</v>
      </c>
      <c r="B27" t="s">
        <v>12</v>
      </c>
      <c r="C27" t="s">
        <v>15</v>
      </c>
      <c r="D27">
        <v>108392</v>
      </c>
      <c r="E27">
        <v>90535</v>
      </c>
      <c r="F27">
        <v>17857</v>
      </c>
      <c r="G27">
        <v>-210</v>
      </c>
      <c r="H27">
        <v>575713</v>
      </c>
      <c r="I27">
        <v>451279</v>
      </c>
      <c r="J27">
        <v>124434</v>
      </c>
    </row>
    <row r="28" spans="1:10" x14ac:dyDescent="0.25">
      <c r="A28" s="1">
        <v>43159</v>
      </c>
      <c r="B28" t="s">
        <v>12</v>
      </c>
      <c r="C28" t="s">
        <v>16</v>
      </c>
      <c r="D28">
        <v>135222</v>
      </c>
      <c r="E28">
        <v>137373</v>
      </c>
      <c r="F28">
        <v>-2151</v>
      </c>
      <c r="G28">
        <v>-21190</v>
      </c>
      <c r="H28">
        <v>847972</v>
      </c>
      <c r="I28">
        <v>589570</v>
      </c>
      <c r="J28">
        <v>258402</v>
      </c>
    </row>
    <row r="29" spans="1:10" x14ac:dyDescent="0.25">
      <c r="A29" s="1">
        <v>43159</v>
      </c>
      <c r="B29" t="s">
        <v>12</v>
      </c>
      <c r="C29" t="s">
        <v>17</v>
      </c>
      <c r="D29">
        <v>184651</v>
      </c>
      <c r="E29">
        <v>123335</v>
      </c>
      <c r="F29">
        <v>61316</v>
      </c>
      <c r="G29">
        <v>45351</v>
      </c>
      <c r="H29">
        <v>224538</v>
      </c>
      <c r="I29">
        <v>301664</v>
      </c>
      <c r="J29">
        <v>-77126</v>
      </c>
    </row>
    <row r="30" spans="1:10" x14ac:dyDescent="0.25">
      <c r="A30" s="1">
        <v>43159</v>
      </c>
      <c r="B30" t="s">
        <v>13</v>
      </c>
      <c r="C30" t="s">
        <v>14</v>
      </c>
      <c r="D30">
        <v>198018</v>
      </c>
      <c r="E30">
        <v>68110</v>
      </c>
      <c r="F30">
        <v>129908</v>
      </c>
      <c r="G30">
        <v>111135</v>
      </c>
      <c r="H30">
        <v>358338</v>
      </c>
      <c r="I30">
        <v>284064</v>
      </c>
      <c r="J30">
        <v>74274</v>
      </c>
    </row>
    <row r="31" spans="1:10" x14ac:dyDescent="0.25">
      <c r="A31" s="1">
        <v>43159</v>
      </c>
      <c r="B31" t="s">
        <v>13</v>
      </c>
      <c r="C31" t="s">
        <v>15</v>
      </c>
      <c r="D31">
        <v>182948</v>
      </c>
      <c r="E31">
        <v>158806</v>
      </c>
      <c r="F31">
        <v>24142</v>
      </c>
      <c r="G31">
        <v>12232</v>
      </c>
      <c r="H31">
        <v>815270</v>
      </c>
      <c r="I31">
        <v>745914</v>
      </c>
      <c r="J31">
        <v>69356</v>
      </c>
    </row>
    <row r="32" spans="1:10" x14ac:dyDescent="0.25">
      <c r="A32" s="1">
        <v>43159</v>
      </c>
      <c r="B32" t="s">
        <v>13</v>
      </c>
      <c r="C32" t="s">
        <v>16</v>
      </c>
      <c r="D32">
        <v>100206</v>
      </c>
      <c r="E32">
        <v>147054</v>
      </c>
      <c r="F32">
        <v>-46848</v>
      </c>
      <c r="G32">
        <v>-57825</v>
      </c>
      <c r="H32">
        <v>322409</v>
      </c>
      <c r="I32">
        <v>647707</v>
      </c>
      <c r="J32">
        <v>-325298</v>
      </c>
    </row>
    <row r="33" spans="1:10" x14ac:dyDescent="0.25">
      <c r="A33" s="1">
        <v>43159</v>
      </c>
      <c r="B33" t="s">
        <v>13</v>
      </c>
      <c r="C33" t="s">
        <v>17</v>
      </c>
      <c r="D33">
        <v>150636</v>
      </c>
      <c r="E33">
        <v>110015</v>
      </c>
      <c r="F33">
        <v>40621</v>
      </c>
      <c r="G33">
        <v>32831</v>
      </c>
      <c r="H33">
        <v>322096</v>
      </c>
      <c r="I33">
        <v>731347</v>
      </c>
      <c r="J33">
        <v>-409251</v>
      </c>
    </row>
    <row r="34" spans="1:10" x14ac:dyDescent="0.25">
      <c r="A34" s="1">
        <v>43190</v>
      </c>
      <c r="B34" t="s">
        <v>10</v>
      </c>
      <c r="C34" t="s">
        <v>14</v>
      </c>
      <c r="D34">
        <v>154268</v>
      </c>
      <c r="E34">
        <v>147939</v>
      </c>
      <c r="F34">
        <v>6329</v>
      </c>
      <c r="G34">
        <v>-428</v>
      </c>
      <c r="H34">
        <v>935716</v>
      </c>
      <c r="I34">
        <v>205878</v>
      </c>
      <c r="J34">
        <v>729838</v>
      </c>
    </row>
    <row r="35" spans="1:10" x14ac:dyDescent="0.25">
      <c r="A35" s="1">
        <v>43190</v>
      </c>
      <c r="B35" t="s">
        <v>10</v>
      </c>
      <c r="C35" t="s">
        <v>15</v>
      </c>
      <c r="D35">
        <v>171910</v>
      </c>
      <c r="E35">
        <v>116044</v>
      </c>
      <c r="F35">
        <v>55866</v>
      </c>
      <c r="G35">
        <v>49188</v>
      </c>
      <c r="H35">
        <v>973290</v>
      </c>
      <c r="I35">
        <v>264899</v>
      </c>
      <c r="J35">
        <v>708391</v>
      </c>
    </row>
    <row r="36" spans="1:10" x14ac:dyDescent="0.25">
      <c r="A36" s="1">
        <v>43190</v>
      </c>
      <c r="B36" t="s">
        <v>10</v>
      </c>
      <c r="C36" t="s">
        <v>16</v>
      </c>
      <c r="D36">
        <v>155820</v>
      </c>
      <c r="E36">
        <v>122623</v>
      </c>
      <c r="F36">
        <v>33197</v>
      </c>
      <c r="G36">
        <v>18283</v>
      </c>
      <c r="H36">
        <v>579989</v>
      </c>
      <c r="I36">
        <v>515515</v>
      </c>
      <c r="J36">
        <v>64474</v>
      </c>
    </row>
    <row r="37" spans="1:10" x14ac:dyDescent="0.25">
      <c r="A37" s="1">
        <v>43190</v>
      </c>
      <c r="B37" t="s">
        <v>10</v>
      </c>
      <c r="C37" t="s">
        <v>17</v>
      </c>
      <c r="D37">
        <v>143585</v>
      </c>
      <c r="E37">
        <v>124044</v>
      </c>
      <c r="F37">
        <v>19541</v>
      </c>
      <c r="G37">
        <v>4752</v>
      </c>
      <c r="H37">
        <v>642296</v>
      </c>
      <c r="I37">
        <v>209556</v>
      </c>
      <c r="J37">
        <v>432740</v>
      </c>
    </row>
    <row r="38" spans="1:10" x14ac:dyDescent="0.25">
      <c r="A38" s="1">
        <v>43190</v>
      </c>
      <c r="B38" t="s">
        <v>11</v>
      </c>
      <c r="C38" t="s">
        <v>14</v>
      </c>
      <c r="D38">
        <v>102693</v>
      </c>
      <c r="E38">
        <v>155003</v>
      </c>
      <c r="F38">
        <v>-52310</v>
      </c>
      <c r="G38">
        <v>-70649</v>
      </c>
      <c r="H38">
        <v>967595</v>
      </c>
      <c r="I38">
        <v>300235</v>
      </c>
      <c r="J38">
        <v>667360</v>
      </c>
    </row>
    <row r="39" spans="1:10" x14ac:dyDescent="0.25">
      <c r="A39" s="1">
        <v>43190</v>
      </c>
      <c r="B39" t="s">
        <v>11</v>
      </c>
      <c r="C39" t="s">
        <v>15</v>
      </c>
      <c r="D39">
        <v>125939</v>
      </c>
      <c r="E39">
        <v>108925</v>
      </c>
      <c r="F39">
        <v>17014</v>
      </c>
      <c r="G39">
        <v>1841</v>
      </c>
      <c r="H39">
        <v>352906</v>
      </c>
      <c r="I39">
        <v>642335</v>
      </c>
      <c r="J39">
        <v>-289429</v>
      </c>
    </row>
    <row r="40" spans="1:10" x14ac:dyDescent="0.25">
      <c r="A40" s="1">
        <v>43190</v>
      </c>
      <c r="B40" t="s">
        <v>11</v>
      </c>
      <c r="C40" t="s">
        <v>16</v>
      </c>
      <c r="D40">
        <v>126105</v>
      </c>
      <c r="E40">
        <v>135766</v>
      </c>
      <c r="F40">
        <v>-9661</v>
      </c>
      <c r="G40">
        <v>-20253</v>
      </c>
      <c r="H40">
        <v>768550</v>
      </c>
      <c r="I40">
        <v>487261</v>
      </c>
      <c r="J40">
        <v>281289</v>
      </c>
    </row>
    <row r="41" spans="1:10" x14ac:dyDescent="0.25">
      <c r="A41" s="1">
        <v>43190</v>
      </c>
      <c r="B41" t="s">
        <v>11</v>
      </c>
      <c r="C41" t="s">
        <v>17</v>
      </c>
      <c r="D41">
        <v>123776</v>
      </c>
      <c r="E41">
        <v>90080</v>
      </c>
      <c r="F41">
        <v>33696</v>
      </c>
      <c r="G41">
        <v>15008</v>
      </c>
      <c r="H41">
        <v>654589</v>
      </c>
      <c r="I41">
        <v>237848</v>
      </c>
      <c r="J41">
        <v>416741</v>
      </c>
    </row>
    <row r="42" spans="1:10" x14ac:dyDescent="0.25">
      <c r="A42" s="1">
        <v>43190</v>
      </c>
      <c r="B42" t="s">
        <v>12</v>
      </c>
      <c r="C42" t="s">
        <v>14</v>
      </c>
      <c r="D42">
        <v>192787</v>
      </c>
      <c r="E42">
        <v>115016</v>
      </c>
      <c r="F42">
        <v>77771</v>
      </c>
      <c r="G42">
        <v>63297</v>
      </c>
      <c r="H42">
        <v>699046</v>
      </c>
      <c r="I42">
        <v>551269</v>
      </c>
      <c r="J42">
        <v>147777</v>
      </c>
    </row>
    <row r="43" spans="1:10" x14ac:dyDescent="0.25">
      <c r="A43" s="1">
        <v>43190</v>
      </c>
      <c r="B43" t="s">
        <v>12</v>
      </c>
      <c r="C43" t="s">
        <v>15</v>
      </c>
      <c r="D43">
        <v>121959</v>
      </c>
      <c r="E43">
        <v>65530</v>
      </c>
      <c r="F43">
        <v>56429</v>
      </c>
      <c r="G43">
        <v>38493</v>
      </c>
      <c r="H43">
        <v>990180</v>
      </c>
      <c r="I43">
        <v>328576</v>
      </c>
      <c r="J43">
        <v>661604</v>
      </c>
    </row>
    <row r="44" spans="1:10" x14ac:dyDescent="0.25">
      <c r="A44" s="1">
        <v>43190</v>
      </c>
      <c r="B44" t="s">
        <v>12</v>
      </c>
      <c r="C44" t="s">
        <v>16</v>
      </c>
      <c r="D44">
        <v>198098</v>
      </c>
      <c r="E44">
        <v>73545</v>
      </c>
      <c r="F44">
        <v>124553</v>
      </c>
      <c r="G44">
        <v>106582</v>
      </c>
      <c r="H44">
        <v>365838</v>
      </c>
      <c r="I44">
        <v>435674</v>
      </c>
      <c r="J44">
        <v>-69836</v>
      </c>
    </row>
    <row r="45" spans="1:10" x14ac:dyDescent="0.25">
      <c r="A45" s="1">
        <v>43190</v>
      </c>
      <c r="B45" t="s">
        <v>12</v>
      </c>
      <c r="C45" t="s">
        <v>17</v>
      </c>
      <c r="D45">
        <v>193557</v>
      </c>
      <c r="E45">
        <v>121087</v>
      </c>
      <c r="F45">
        <v>72470</v>
      </c>
      <c r="G45">
        <v>53551</v>
      </c>
      <c r="H45">
        <v>793128</v>
      </c>
      <c r="I45">
        <v>218451</v>
      </c>
      <c r="J45">
        <v>574677</v>
      </c>
    </row>
    <row r="46" spans="1:10" x14ac:dyDescent="0.25">
      <c r="A46" s="1">
        <v>43190</v>
      </c>
      <c r="B46" t="s">
        <v>13</v>
      </c>
      <c r="C46" t="s">
        <v>14</v>
      </c>
      <c r="D46">
        <v>154384</v>
      </c>
      <c r="E46">
        <v>111005</v>
      </c>
      <c r="F46">
        <v>43379</v>
      </c>
      <c r="G46">
        <v>24571</v>
      </c>
      <c r="H46">
        <v>239353</v>
      </c>
      <c r="I46">
        <v>293075</v>
      </c>
      <c r="J46">
        <v>-53722</v>
      </c>
    </row>
    <row r="47" spans="1:10" x14ac:dyDescent="0.25">
      <c r="A47" s="1">
        <v>43190</v>
      </c>
      <c r="B47" t="s">
        <v>13</v>
      </c>
      <c r="C47" t="s">
        <v>15</v>
      </c>
      <c r="D47">
        <v>183211</v>
      </c>
      <c r="E47">
        <v>112733</v>
      </c>
      <c r="F47">
        <v>70478</v>
      </c>
      <c r="G47">
        <v>53829</v>
      </c>
      <c r="H47">
        <v>682690</v>
      </c>
      <c r="I47">
        <v>516880</v>
      </c>
      <c r="J47">
        <v>165810</v>
      </c>
    </row>
    <row r="48" spans="1:10" x14ac:dyDescent="0.25">
      <c r="A48" s="1">
        <v>43190</v>
      </c>
      <c r="B48" t="s">
        <v>13</v>
      </c>
      <c r="C48" t="s">
        <v>16</v>
      </c>
      <c r="D48">
        <v>167172</v>
      </c>
      <c r="E48">
        <v>145616</v>
      </c>
      <c r="F48">
        <v>21556</v>
      </c>
      <c r="G48">
        <v>5365</v>
      </c>
      <c r="H48">
        <v>293264</v>
      </c>
      <c r="I48">
        <v>325281</v>
      </c>
      <c r="J48">
        <v>-32017</v>
      </c>
    </row>
    <row r="49" spans="1:10" x14ac:dyDescent="0.25">
      <c r="A49" s="1">
        <v>43190</v>
      </c>
      <c r="B49" t="s">
        <v>13</v>
      </c>
      <c r="C49" t="s">
        <v>17</v>
      </c>
      <c r="D49">
        <v>100854</v>
      </c>
      <c r="E49">
        <v>150084</v>
      </c>
      <c r="F49">
        <v>-49230</v>
      </c>
      <c r="G49">
        <v>-60085</v>
      </c>
      <c r="H49">
        <v>469536</v>
      </c>
      <c r="I49">
        <v>417824</v>
      </c>
      <c r="J49">
        <v>51712</v>
      </c>
    </row>
    <row r="50" spans="1:10" x14ac:dyDescent="0.25">
      <c r="A50" s="1">
        <v>43220</v>
      </c>
      <c r="B50" t="s">
        <v>10</v>
      </c>
      <c r="C50" t="s">
        <v>14</v>
      </c>
      <c r="D50">
        <v>146717</v>
      </c>
      <c r="E50">
        <v>147092</v>
      </c>
      <c r="F50">
        <v>-375</v>
      </c>
      <c r="G50">
        <v>-7082</v>
      </c>
      <c r="H50">
        <v>325657</v>
      </c>
      <c r="I50">
        <v>335167</v>
      </c>
      <c r="J50">
        <v>-9510</v>
      </c>
    </row>
    <row r="51" spans="1:10" x14ac:dyDescent="0.25">
      <c r="A51" s="1">
        <v>43220</v>
      </c>
      <c r="B51" t="s">
        <v>10</v>
      </c>
      <c r="C51" t="s">
        <v>15</v>
      </c>
      <c r="D51">
        <v>126309</v>
      </c>
      <c r="E51">
        <v>147455</v>
      </c>
      <c r="F51">
        <v>-21146</v>
      </c>
      <c r="G51">
        <v>-40728</v>
      </c>
      <c r="H51">
        <v>270467</v>
      </c>
      <c r="I51">
        <v>283734</v>
      </c>
      <c r="J51">
        <v>-13267</v>
      </c>
    </row>
    <row r="52" spans="1:10" x14ac:dyDescent="0.25">
      <c r="A52" s="1">
        <v>43220</v>
      </c>
      <c r="B52" t="s">
        <v>10</v>
      </c>
      <c r="C52" t="s">
        <v>16</v>
      </c>
      <c r="D52">
        <v>198506</v>
      </c>
      <c r="E52">
        <v>72688</v>
      </c>
      <c r="F52">
        <v>125818</v>
      </c>
      <c r="G52">
        <v>111860</v>
      </c>
      <c r="H52">
        <v>892517</v>
      </c>
      <c r="I52">
        <v>561079</v>
      </c>
      <c r="J52">
        <v>331438</v>
      </c>
    </row>
    <row r="53" spans="1:10" x14ac:dyDescent="0.25">
      <c r="A53" s="1">
        <v>43220</v>
      </c>
      <c r="B53" t="s">
        <v>10</v>
      </c>
      <c r="C53" t="s">
        <v>17</v>
      </c>
      <c r="D53">
        <v>152083</v>
      </c>
      <c r="E53">
        <v>125733</v>
      </c>
      <c r="F53">
        <v>26350</v>
      </c>
      <c r="G53">
        <v>14225</v>
      </c>
      <c r="H53">
        <v>758986</v>
      </c>
      <c r="I53">
        <v>210078</v>
      </c>
      <c r="J53">
        <v>548908</v>
      </c>
    </row>
    <row r="54" spans="1:10" x14ac:dyDescent="0.25">
      <c r="A54" s="1">
        <v>43220</v>
      </c>
      <c r="B54" t="s">
        <v>11</v>
      </c>
      <c r="C54" t="s">
        <v>14</v>
      </c>
      <c r="D54">
        <v>180623</v>
      </c>
      <c r="E54">
        <v>82671</v>
      </c>
      <c r="F54">
        <v>97952</v>
      </c>
      <c r="G54">
        <v>84152</v>
      </c>
      <c r="H54">
        <v>555528</v>
      </c>
      <c r="I54">
        <v>710490</v>
      </c>
      <c r="J54">
        <v>-154962</v>
      </c>
    </row>
    <row r="55" spans="1:10" x14ac:dyDescent="0.25">
      <c r="A55" s="1">
        <v>43220</v>
      </c>
      <c r="B55" t="s">
        <v>11</v>
      </c>
      <c r="C55" t="s">
        <v>15</v>
      </c>
      <c r="D55">
        <v>151663</v>
      </c>
      <c r="E55">
        <v>75708</v>
      </c>
      <c r="F55">
        <v>75955</v>
      </c>
      <c r="G55">
        <v>60969</v>
      </c>
      <c r="H55">
        <v>511955</v>
      </c>
      <c r="I55">
        <v>233883</v>
      </c>
      <c r="J55">
        <v>278072</v>
      </c>
    </row>
    <row r="56" spans="1:10" x14ac:dyDescent="0.25">
      <c r="A56" s="1">
        <v>43220</v>
      </c>
      <c r="B56" t="s">
        <v>11</v>
      </c>
      <c r="C56" t="s">
        <v>16</v>
      </c>
      <c r="D56">
        <v>156250</v>
      </c>
      <c r="E56">
        <v>132082</v>
      </c>
      <c r="F56">
        <v>24168</v>
      </c>
      <c r="G56">
        <v>9607</v>
      </c>
      <c r="H56">
        <v>759042</v>
      </c>
      <c r="I56">
        <v>242483</v>
      </c>
      <c r="J56">
        <v>516559</v>
      </c>
    </row>
    <row r="57" spans="1:10" x14ac:dyDescent="0.25">
      <c r="A57" s="1">
        <v>43220</v>
      </c>
      <c r="B57" t="s">
        <v>11</v>
      </c>
      <c r="C57" t="s">
        <v>17</v>
      </c>
      <c r="D57">
        <v>102911</v>
      </c>
      <c r="E57">
        <v>127270</v>
      </c>
      <c r="F57">
        <v>-24359</v>
      </c>
      <c r="G57">
        <v>-31202</v>
      </c>
      <c r="H57">
        <v>601896</v>
      </c>
      <c r="I57">
        <v>184896</v>
      </c>
      <c r="J57">
        <v>417000</v>
      </c>
    </row>
    <row r="58" spans="1:10" x14ac:dyDescent="0.25">
      <c r="A58" s="1">
        <v>43220</v>
      </c>
      <c r="B58" t="s">
        <v>12</v>
      </c>
      <c r="C58" t="s">
        <v>14</v>
      </c>
      <c r="D58">
        <v>183879</v>
      </c>
      <c r="E58">
        <v>131295</v>
      </c>
      <c r="F58">
        <v>52584</v>
      </c>
      <c r="G58">
        <v>40890</v>
      </c>
      <c r="H58">
        <v>473255</v>
      </c>
      <c r="I58">
        <v>399648</v>
      </c>
      <c r="J58">
        <v>73607</v>
      </c>
    </row>
    <row r="59" spans="1:10" x14ac:dyDescent="0.25">
      <c r="A59" s="1">
        <v>43220</v>
      </c>
      <c r="B59" t="s">
        <v>12</v>
      </c>
      <c r="C59" t="s">
        <v>15</v>
      </c>
      <c r="D59">
        <v>101802</v>
      </c>
      <c r="E59">
        <v>68155</v>
      </c>
      <c r="F59">
        <v>33647</v>
      </c>
      <c r="G59">
        <v>20527</v>
      </c>
      <c r="H59">
        <v>574705</v>
      </c>
      <c r="I59">
        <v>671542</v>
      </c>
      <c r="J59">
        <v>-96837</v>
      </c>
    </row>
    <row r="60" spans="1:10" x14ac:dyDescent="0.25">
      <c r="A60" s="1">
        <v>43220</v>
      </c>
      <c r="B60" t="s">
        <v>12</v>
      </c>
      <c r="C60" t="s">
        <v>16</v>
      </c>
      <c r="D60">
        <v>121918</v>
      </c>
      <c r="E60">
        <v>145981</v>
      </c>
      <c r="F60">
        <v>-24063</v>
      </c>
      <c r="G60">
        <v>-40624</v>
      </c>
      <c r="H60">
        <v>754594</v>
      </c>
      <c r="I60">
        <v>247718</v>
      </c>
      <c r="J60">
        <v>506876</v>
      </c>
    </row>
    <row r="61" spans="1:10" x14ac:dyDescent="0.25">
      <c r="A61" s="1">
        <v>43220</v>
      </c>
      <c r="B61" t="s">
        <v>12</v>
      </c>
      <c r="C61" t="s">
        <v>17</v>
      </c>
      <c r="D61">
        <v>146843</v>
      </c>
      <c r="E61">
        <v>156601</v>
      </c>
      <c r="F61">
        <v>-9758</v>
      </c>
      <c r="G61">
        <v>-23573</v>
      </c>
      <c r="H61">
        <v>307512</v>
      </c>
      <c r="I61">
        <v>247443</v>
      </c>
      <c r="J61">
        <v>60069</v>
      </c>
    </row>
    <row r="62" spans="1:10" x14ac:dyDescent="0.25">
      <c r="A62" s="1">
        <v>43220</v>
      </c>
      <c r="B62" t="s">
        <v>13</v>
      </c>
      <c r="C62" t="s">
        <v>14</v>
      </c>
      <c r="D62">
        <v>177371</v>
      </c>
      <c r="E62">
        <v>62049</v>
      </c>
      <c r="F62">
        <v>115322</v>
      </c>
      <c r="G62">
        <v>104899</v>
      </c>
      <c r="H62">
        <v>575037</v>
      </c>
      <c r="I62">
        <v>217796</v>
      </c>
      <c r="J62">
        <v>357241</v>
      </c>
    </row>
    <row r="63" spans="1:10" x14ac:dyDescent="0.25">
      <c r="A63" s="1">
        <v>43220</v>
      </c>
      <c r="B63" t="s">
        <v>13</v>
      </c>
      <c r="C63" t="s">
        <v>15</v>
      </c>
      <c r="D63">
        <v>129855</v>
      </c>
      <c r="E63">
        <v>121434</v>
      </c>
      <c r="F63">
        <v>8421</v>
      </c>
      <c r="G63">
        <v>-3737</v>
      </c>
      <c r="H63">
        <v>898376</v>
      </c>
      <c r="I63">
        <v>369544</v>
      </c>
      <c r="J63">
        <v>528832</v>
      </c>
    </row>
    <row r="64" spans="1:10" x14ac:dyDescent="0.25">
      <c r="A64" s="1">
        <v>43220</v>
      </c>
      <c r="B64" t="s">
        <v>13</v>
      </c>
      <c r="C64" t="s">
        <v>16</v>
      </c>
      <c r="D64">
        <v>142642</v>
      </c>
      <c r="E64">
        <v>75151</v>
      </c>
      <c r="F64">
        <v>67491</v>
      </c>
      <c r="G64">
        <v>60236</v>
      </c>
      <c r="H64">
        <v>790978</v>
      </c>
      <c r="I64">
        <v>628787</v>
      </c>
      <c r="J64">
        <v>162191</v>
      </c>
    </row>
    <row r="65" spans="1:10" x14ac:dyDescent="0.25">
      <c r="A65" s="1">
        <v>43220</v>
      </c>
      <c r="B65" t="s">
        <v>13</v>
      </c>
      <c r="C65" t="s">
        <v>17</v>
      </c>
      <c r="D65">
        <v>106295</v>
      </c>
      <c r="E65">
        <v>119040</v>
      </c>
      <c r="F65">
        <v>-12745</v>
      </c>
      <c r="G65">
        <v>-29928</v>
      </c>
      <c r="H65">
        <v>622515</v>
      </c>
      <c r="I65">
        <v>768234</v>
      </c>
      <c r="J65">
        <v>-145719</v>
      </c>
    </row>
    <row r="66" spans="1:10" x14ac:dyDescent="0.25">
      <c r="A66" s="1">
        <v>43251</v>
      </c>
      <c r="B66" t="s">
        <v>10</v>
      </c>
      <c r="C66" t="s">
        <v>14</v>
      </c>
      <c r="D66">
        <v>132711</v>
      </c>
      <c r="E66">
        <v>65539</v>
      </c>
      <c r="F66">
        <v>67172</v>
      </c>
      <c r="G66">
        <v>52535</v>
      </c>
      <c r="H66">
        <v>384423</v>
      </c>
      <c r="I66">
        <v>616349</v>
      </c>
      <c r="J66">
        <v>-231926</v>
      </c>
    </row>
    <row r="67" spans="1:10" x14ac:dyDescent="0.25">
      <c r="A67" s="1">
        <v>43251</v>
      </c>
      <c r="B67" t="s">
        <v>10</v>
      </c>
      <c r="C67" t="s">
        <v>15</v>
      </c>
      <c r="D67">
        <v>148354</v>
      </c>
      <c r="E67">
        <v>62557</v>
      </c>
      <c r="F67">
        <v>85797</v>
      </c>
      <c r="G67">
        <v>75205</v>
      </c>
      <c r="H67">
        <v>937378</v>
      </c>
      <c r="I67">
        <v>233272</v>
      </c>
      <c r="J67">
        <v>704106</v>
      </c>
    </row>
    <row r="68" spans="1:10" x14ac:dyDescent="0.25">
      <c r="A68" s="1">
        <v>43251</v>
      </c>
      <c r="B68" t="s">
        <v>10</v>
      </c>
      <c r="C68" t="s">
        <v>16</v>
      </c>
      <c r="D68">
        <v>168497</v>
      </c>
      <c r="E68">
        <v>106975</v>
      </c>
      <c r="F68">
        <v>61522</v>
      </c>
      <c r="G68">
        <v>51549</v>
      </c>
      <c r="H68">
        <v>843409</v>
      </c>
      <c r="I68">
        <v>177505</v>
      </c>
      <c r="J68">
        <v>665904</v>
      </c>
    </row>
    <row r="69" spans="1:10" x14ac:dyDescent="0.25">
      <c r="A69" s="1">
        <v>43251</v>
      </c>
      <c r="B69" t="s">
        <v>10</v>
      </c>
      <c r="C69" t="s">
        <v>17</v>
      </c>
      <c r="D69">
        <v>102869</v>
      </c>
      <c r="E69">
        <v>121135</v>
      </c>
      <c r="F69">
        <v>-18266</v>
      </c>
      <c r="G69">
        <v>-24222</v>
      </c>
      <c r="H69">
        <v>836584</v>
      </c>
      <c r="I69">
        <v>718467</v>
      </c>
      <c r="J69">
        <v>118117</v>
      </c>
    </row>
    <row r="70" spans="1:10" x14ac:dyDescent="0.25">
      <c r="A70" s="1">
        <v>43251</v>
      </c>
      <c r="B70" t="s">
        <v>11</v>
      </c>
      <c r="C70" t="s">
        <v>14</v>
      </c>
      <c r="D70">
        <v>190272</v>
      </c>
      <c r="E70">
        <v>98467</v>
      </c>
      <c r="F70">
        <v>91805</v>
      </c>
      <c r="G70">
        <v>79861</v>
      </c>
      <c r="H70">
        <v>680047</v>
      </c>
      <c r="I70">
        <v>759347</v>
      </c>
      <c r="J70">
        <v>-79300</v>
      </c>
    </row>
    <row r="71" spans="1:10" x14ac:dyDescent="0.25">
      <c r="A71" s="1">
        <v>43251</v>
      </c>
      <c r="B71" t="s">
        <v>11</v>
      </c>
      <c r="C71" t="s">
        <v>15</v>
      </c>
      <c r="D71">
        <v>158871</v>
      </c>
      <c r="E71">
        <v>82399</v>
      </c>
      <c r="F71">
        <v>76472</v>
      </c>
      <c r="G71">
        <v>57769</v>
      </c>
      <c r="H71">
        <v>639430</v>
      </c>
      <c r="I71">
        <v>710704</v>
      </c>
      <c r="J71">
        <v>-71274</v>
      </c>
    </row>
    <row r="72" spans="1:10" x14ac:dyDescent="0.25">
      <c r="A72" s="1">
        <v>43251</v>
      </c>
      <c r="B72" t="s">
        <v>11</v>
      </c>
      <c r="C72" t="s">
        <v>16</v>
      </c>
      <c r="D72">
        <v>170271</v>
      </c>
      <c r="E72">
        <v>104064</v>
      </c>
      <c r="F72">
        <v>66207</v>
      </c>
      <c r="G72">
        <v>50280</v>
      </c>
      <c r="H72">
        <v>925451</v>
      </c>
      <c r="I72">
        <v>207450</v>
      </c>
      <c r="J72">
        <v>718001</v>
      </c>
    </row>
    <row r="73" spans="1:10" x14ac:dyDescent="0.25">
      <c r="A73" s="1">
        <v>43251</v>
      </c>
      <c r="B73" t="s">
        <v>11</v>
      </c>
      <c r="C73" t="s">
        <v>17</v>
      </c>
      <c r="D73">
        <v>140818</v>
      </c>
      <c r="E73">
        <v>105525</v>
      </c>
      <c r="F73">
        <v>35293</v>
      </c>
      <c r="G73">
        <v>26847</v>
      </c>
      <c r="H73">
        <v>600109</v>
      </c>
      <c r="I73">
        <v>216381</v>
      </c>
      <c r="J73">
        <v>383728</v>
      </c>
    </row>
    <row r="74" spans="1:10" x14ac:dyDescent="0.25">
      <c r="A74" s="1">
        <v>43251</v>
      </c>
      <c r="B74" t="s">
        <v>12</v>
      </c>
      <c r="C74" t="s">
        <v>14</v>
      </c>
      <c r="D74">
        <v>179909</v>
      </c>
      <c r="E74">
        <v>107333</v>
      </c>
      <c r="F74">
        <v>72576</v>
      </c>
      <c r="G74">
        <v>64140</v>
      </c>
      <c r="H74">
        <v>929650</v>
      </c>
      <c r="I74">
        <v>499111</v>
      </c>
      <c r="J74">
        <v>430539</v>
      </c>
    </row>
    <row r="75" spans="1:10" x14ac:dyDescent="0.25">
      <c r="A75" s="1">
        <v>43251</v>
      </c>
      <c r="B75" t="s">
        <v>12</v>
      </c>
      <c r="C75" t="s">
        <v>15</v>
      </c>
      <c r="D75">
        <v>119738</v>
      </c>
      <c r="E75">
        <v>90746</v>
      </c>
      <c r="F75">
        <v>28992</v>
      </c>
      <c r="G75">
        <v>23767</v>
      </c>
      <c r="H75">
        <v>560032</v>
      </c>
      <c r="I75">
        <v>469599</v>
      </c>
      <c r="J75">
        <v>90433</v>
      </c>
    </row>
    <row r="76" spans="1:10" x14ac:dyDescent="0.25">
      <c r="A76" s="1">
        <v>43251</v>
      </c>
      <c r="B76" t="s">
        <v>12</v>
      </c>
      <c r="C76" t="s">
        <v>16</v>
      </c>
      <c r="D76">
        <v>105600</v>
      </c>
      <c r="E76">
        <v>154660</v>
      </c>
      <c r="F76">
        <v>-49060</v>
      </c>
      <c r="G76">
        <v>-65319</v>
      </c>
      <c r="H76">
        <v>371836</v>
      </c>
      <c r="I76">
        <v>145714</v>
      </c>
      <c r="J76">
        <v>226122</v>
      </c>
    </row>
    <row r="77" spans="1:10" x14ac:dyDescent="0.25">
      <c r="A77" s="1">
        <v>43251</v>
      </c>
      <c r="B77" t="s">
        <v>12</v>
      </c>
      <c r="C77" t="s">
        <v>17</v>
      </c>
      <c r="D77">
        <v>156835</v>
      </c>
      <c r="E77">
        <v>133744</v>
      </c>
      <c r="F77">
        <v>23091</v>
      </c>
      <c r="G77">
        <v>10752</v>
      </c>
      <c r="H77">
        <v>324123</v>
      </c>
      <c r="I77">
        <v>405628</v>
      </c>
      <c r="J77">
        <v>-81505</v>
      </c>
    </row>
    <row r="78" spans="1:10" x14ac:dyDescent="0.25">
      <c r="A78" s="1">
        <v>43251</v>
      </c>
      <c r="B78" t="s">
        <v>13</v>
      </c>
      <c r="C78" t="s">
        <v>14</v>
      </c>
      <c r="D78">
        <v>182989</v>
      </c>
      <c r="E78">
        <v>96212</v>
      </c>
      <c r="F78">
        <v>86777</v>
      </c>
      <c r="G78">
        <v>71020</v>
      </c>
      <c r="H78">
        <v>378274</v>
      </c>
      <c r="I78">
        <v>787995</v>
      </c>
      <c r="J78">
        <v>-409721</v>
      </c>
    </row>
    <row r="79" spans="1:10" x14ac:dyDescent="0.25">
      <c r="A79" s="1">
        <v>43251</v>
      </c>
      <c r="B79" t="s">
        <v>13</v>
      </c>
      <c r="C79" t="s">
        <v>15</v>
      </c>
      <c r="D79">
        <v>163208</v>
      </c>
      <c r="E79">
        <v>93828</v>
      </c>
      <c r="F79">
        <v>69380</v>
      </c>
      <c r="G79">
        <v>62053</v>
      </c>
      <c r="H79">
        <v>989852</v>
      </c>
      <c r="I79">
        <v>231373</v>
      </c>
      <c r="J79">
        <v>758479</v>
      </c>
    </row>
    <row r="80" spans="1:10" x14ac:dyDescent="0.25">
      <c r="A80" s="1">
        <v>43251</v>
      </c>
      <c r="B80" t="s">
        <v>13</v>
      </c>
      <c r="C80" t="s">
        <v>16</v>
      </c>
      <c r="D80">
        <v>145236</v>
      </c>
      <c r="E80">
        <v>126235</v>
      </c>
      <c r="F80">
        <v>19001</v>
      </c>
      <c r="G80">
        <v>8913</v>
      </c>
      <c r="H80">
        <v>848307</v>
      </c>
      <c r="I80">
        <v>165726</v>
      </c>
      <c r="J80">
        <v>682581</v>
      </c>
    </row>
    <row r="81" spans="1:10" x14ac:dyDescent="0.25">
      <c r="A81" s="1">
        <v>43251</v>
      </c>
      <c r="B81" t="s">
        <v>13</v>
      </c>
      <c r="C81" t="s">
        <v>17</v>
      </c>
      <c r="D81">
        <v>110492</v>
      </c>
      <c r="E81">
        <v>66102</v>
      </c>
      <c r="F81">
        <v>44390</v>
      </c>
      <c r="G81">
        <v>38206</v>
      </c>
      <c r="H81">
        <v>318015</v>
      </c>
      <c r="I81">
        <v>354079</v>
      </c>
      <c r="J81">
        <v>-36064</v>
      </c>
    </row>
    <row r="82" spans="1:10" x14ac:dyDescent="0.25">
      <c r="A82" s="1">
        <v>43281</v>
      </c>
      <c r="B82" t="s">
        <v>10</v>
      </c>
      <c r="C82" t="s">
        <v>14</v>
      </c>
      <c r="D82">
        <v>126641</v>
      </c>
      <c r="E82">
        <v>94584</v>
      </c>
      <c r="F82">
        <v>32057</v>
      </c>
      <c r="G82">
        <v>21203</v>
      </c>
      <c r="H82">
        <v>565890</v>
      </c>
      <c r="I82">
        <v>545101</v>
      </c>
      <c r="J82">
        <v>20789</v>
      </c>
    </row>
    <row r="83" spans="1:10" x14ac:dyDescent="0.25">
      <c r="A83" s="1">
        <v>43281</v>
      </c>
      <c r="B83" t="s">
        <v>10</v>
      </c>
      <c r="C83" t="s">
        <v>15</v>
      </c>
      <c r="D83">
        <v>136631</v>
      </c>
      <c r="E83">
        <v>132991</v>
      </c>
      <c r="F83">
        <v>3640</v>
      </c>
      <c r="G83">
        <v>-5374</v>
      </c>
      <c r="H83">
        <v>473237</v>
      </c>
      <c r="I83">
        <v>118070</v>
      </c>
      <c r="J83">
        <v>355167</v>
      </c>
    </row>
    <row r="84" spans="1:10" x14ac:dyDescent="0.25">
      <c r="A84" s="1">
        <v>43281</v>
      </c>
      <c r="B84" t="s">
        <v>10</v>
      </c>
      <c r="C84" t="s">
        <v>16</v>
      </c>
      <c r="D84">
        <v>135777</v>
      </c>
      <c r="E84">
        <v>116958</v>
      </c>
      <c r="F84">
        <v>18819</v>
      </c>
      <c r="G84">
        <v>13665</v>
      </c>
      <c r="H84">
        <v>735017</v>
      </c>
      <c r="I84">
        <v>276089</v>
      </c>
      <c r="J84">
        <v>458928</v>
      </c>
    </row>
    <row r="85" spans="1:10" x14ac:dyDescent="0.25">
      <c r="A85" s="1">
        <v>43281</v>
      </c>
      <c r="B85" t="s">
        <v>10</v>
      </c>
      <c r="C85" t="s">
        <v>17</v>
      </c>
      <c r="D85">
        <v>166320</v>
      </c>
      <c r="E85">
        <v>87751</v>
      </c>
      <c r="F85">
        <v>78569</v>
      </c>
      <c r="G85">
        <v>65473</v>
      </c>
      <c r="H85">
        <v>830152</v>
      </c>
      <c r="I85">
        <v>493002</v>
      </c>
      <c r="J85">
        <v>337150</v>
      </c>
    </row>
    <row r="86" spans="1:10" x14ac:dyDescent="0.25">
      <c r="A86" s="1">
        <v>43281</v>
      </c>
      <c r="B86" t="s">
        <v>11</v>
      </c>
      <c r="C86" t="s">
        <v>14</v>
      </c>
      <c r="D86">
        <v>178069</v>
      </c>
      <c r="E86">
        <v>114748</v>
      </c>
      <c r="F86">
        <v>63321</v>
      </c>
      <c r="G86">
        <v>52520</v>
      </c>
      <c r="H86">
        <v>350262</v>
      </c>
      <c r="I86">
        <v>542905</v>
      </c>
      <c r="J86">
        <v>-192643</v>
      </c>
    </row>
    <row r="87" spans="1:10" x14ac:dyDescent="0.25">
      <c r="A87" s="1">
        <v>43281</v>
      </c>
      <c r="B87" t="s">
        <v>11</v>
      </c>
      <c r="C87" t="s">
        <v>15</v>
      </c>
      <c r="D87">
        <v>150993</v>
      </c>
      <c r="E87">
        <v>89592</v>
      </c>
      <c r="F87">
        <v>61401</v>
      </c>
      <c r="G87">
        <v>45754</v>
      </c>
      <c r="H87">
        <v>864076</v>
      </c>
      <c r="I87">
        <v>319963</v>
      </c>
      <c r="J87">
        <v>544113</v>
      </c>
    </row>
    <row r="88" spans="1:10" x14ac:dyDescent="0.25">
      <c r="A88" s="1">
        <v>43281</v>
      </c>
      <c r="B88" t="s">
        <v>11</v>
      </c>
      <c r="C88" t="s">
        <v>16</v>
      </c>
      <c r="D88">
        <v>187545</v>
      </c>
      <c r="E88">
        <v>149912</v>
      </c>
      <c r="F88">
        <v>37633</v>
      </c>
      <c r="G88">
        <v>20310</v>
      </c>
      <c r="H88">
        <v>982355</v>
      </c>
      <c r="I88">
        <v>364512</v>
      </c>
      <c r="J88">
        <v>617843</v>
      </c>
    </row>
    <row r="89" spans="1:10" x14ac:dyDescent="0.25">
      <c r="A89" s="1">
        <v>43281</v>
      </c>
      <c r="B89" t="s">
        <v>11</v>
      </c>
      <c r="C89" t="s">
        <v>17</v>
      </c>
      <c r="D89">
        <v>177575</v>
      </c>
      <c r="E89">
        <v>66655</v>
      </c>
      <c r="F89">
        <v>110920</v>
      </c>
      <c r="G89">
        <v>97747</v>
      </c>
      <c r="H89">
        <v>794319</v>
      </c>
      <c r="I89">
        <v>584299</v>
      </c>
      <c r="J89">
        <v>210020</v>
      </c>
    </row>
    <row r="90" spans="1:10" x14ac:dyDescent="0.25">
      <c r="A90" s="1">
        <v>43281</v>
      </c>
      <c r="B90" t="s">
        <v>12</v>
      </c>
      <c r="C90" t="s">
        <v>14</v>
      </c>
      <c r="D90">
        <v>187922</v>
      </c>
      <c r="E90">
        <v>115766</v>
      </c>
      <c r="F90">
        <v>72156</v>
      </c>
      <c r="G90">
        <v>57798</v>
      </c>
      <c r="H90">
        <v>606619</v>
      </c>
      <c r="I90">
        <v>132097</v>
      </c>
      <c r="J90">
        <v>474522</v>
      </c>
    </row>
    <row r="91" spans="1:10" x14ac:dyDescent="0.25">
      <c r="A91" s="1">
        <v>43281</v>
      </c>
      <c r="B91" t="s">
        <v>12</v>
      </c>
      <c r="C91" t="s">
        <v>15</v>
      </c>
      <c r="D91">
        <v>178657</v>
      </c>
      <c r="E91">
        <v>70966</v>
      </c>
      <c r="F91">
        <v>107691</v>
      </c>
      <c r="G91">
        <v>92517</v>
      </c>
      <c r="H91">
        <v>430229</v>
      </c>
      <c r="I91">
        <v>218834</v>
      </c>
      <c r="J91">
        <v>211395</v>
      </c>
    </row>
    <row r="92" spans="1:10" x14ac:dyDescent="0.25">
      <c r="A92" s="1">
        <v>43281</v>
      </c>
      <c r="B92" t="s">
        <v>12</v>
      </c>
      <c r="C92" t="s">
        <v>16</v>
      </c>
      <c r="D92">
        <v>193848</v>
      </c>
      <c r="E92">
        <v>112921</v>
      </c>
      <c r="F92">
        <v>80927</v>
      </c>
      <c r="G92">
        <v>75353</v>
      </c>
      <c r="H92">
        <v>850429</v>
      </c>
      <c r="I92">
        <v>384821</v>
      </c>
      <c r="J92">
        <v>465608</v>
      </c>
    </row>
    <row r="93" spans="1:10" x14ac:dyDescent="0.25">
      <c r="A93" s="1">
        <v>43281</v>
      </c>
      <c r="B93" t="s">
        <v>12</v>
      </c>
      <c r="C93" t="s">
        <v>17</v>
      </c>
      <c r="D93">
        <v>155609</v>
      </c>
      <c r="E93">
        <v>156825</v>
      </c>
      <c r="F93">
        <v>-1216</v>
      </c>
      <c r="G93">
        <v>-13725</v>
      </c>
      <c r="H93">
        <v>231024</v>
      </c>
      <c r="I93">
        <v>170313</v>
      </c>
      <c r="J93">
        <v>60711</v>
      </c>
    </row>
    <row r="94" spans="1:10" x14ac:dyDescent="0.25">
      <c r="A94" s="1">
        <v>43281</v>
      </c>
      <c r="B94" t="s">
        <v>13</v>
      </c>
      <c r="C94" t="s">
        <v>14</v>
      </c>
      <c r="D94">
        <v>153006</v>
      </c>
      <c r="E94">
        <v>155285</v>
      </c>
      <c r="F94">
        <v>-2279</v>
      </c>
      <c r="G94">
        <v>-9770</v>
      </c>
      <c r="H94">
        <v>313632</v>
      </c>
      <c r="I94">
        <v>351451</v>
      </c>
      <c r="J94">
        <v>-37819</v>
      </c>
    </row>
    <row r="95" spans="1:10" x14ac:dyDescent="0.25">
      <c r="A95" s="1">
        <v>43281</v>
      </c>
      <c r="B95" t="s">
        <v>13</v>
      </c>
      <c r="C95" t="s">
        <v>15</v>
      </c>
      <c r="D95">
        <v>103051</v>
      </c>
      <c r="E95">
        <v>108747</v>
      </c>
      <c r="F95">
        <v>-5696</v>
      </c>
      <c r="G95">
        <v>-10700</v>
      </c>
      <c r="H95">
        <v>811523</v>
      </c>
      <c r="I95">
        <v>289407</v>
      </c>
      <c r="J95">
        <v>522116</v>
      </c>
    </row>
    <row r="96" spans="1:10" x14ac:dyDescent="0.25">
      <c r="A96" s="1">
        <v>43281</v>
      </c>
      <c r="B96" t="s">
        <v>13</v>
      </c>
      <c r="C96" t="s">
        <v>16</v>
      </c>
      <c r="D96">
        <v>156179</v>
      </c>
      <c r="E96">
        <v>92093</v>
      </c>
      <c r="F96">
        <v>64086</v>
      </c>
      <c r="G96">
        <v>54944</v>
      </c>
      <c r="H96">
        <v>411810</v>
      </c>
      <c r="I96">
        <v>173523</v>
      </c>
      <c r="J96">
        <v>238287</v>
      </c>
    </row>
    <row r="97" spans="1:10" x14ac:dyDescent="0.25">
      <c r="A97" s="1">
        <v>43281</v>
      </c>
      <c r="B97" t="s">
        <v>13</v>
      </c>
      <c r="C97" t="s">
        <v>17</v>
      </c>
      <c r="D97">
        <v>194476</v>
      </c>
      <c r="E97">
        <v>77019</v>
      </c>
      <c r="F97">
        <v>117457</v>
      </c>
      <c r="G97">
        <v>99040</v>
      </c>
      <c r="H97">
        <v>422866</v>
      </c>
      <c r="I97">
        <v>186672</v>
      </c>
      <c r="J97">
        <v>236194</v>
      </c>
    </row>
    <row r="98" spans="1:10" x14ac:dyDescent="0.25">
      <c r="A98" s="1">
        <v>43312</v>
      </c>
      <c r="B98" t="s">
        <v>10</v>
      </c>
      <c r="C98" t="s">
        <v>14</v>
      </c>
      <c r="D98">
        <v>173847</v>
      </c>
      <c r="E98">
        <v>142750</v>
      </c>
      <c r="F98">
        <v>31097</v>
      </c>
      <c r="G98">
        <v>11999</v>
      </c>
      <c r="H98">
        <v>228251</v>
      </c>
      <c r="I98">
        <v>727769</v>
      </c>
      <c r="J98">
        <v>-499518</v>
      </c>
    </row>
    <row r="99" spans="1:10" x14ac:dyDescent="0.25">
      <c r="A99" s="1">
        <v>43312</v>
      </c>
      <c r="B99" t="s">
        <v>10</v>
      </c>
      <c r="C99" t="s">
        <v>15</v>
      </c>
      <c r="D99">
        <v>125945</v>
      </c>
      <c r="E99">
        <v>150852</v>
      </c>
      <c r="F99">
        <v>-24907</v>
      </c>
      <c r="G99">
        <v>-38215</v>
      </c>
      <c r="H99">
        <v>468093</v>
      </c>
      <c r="I99">
        <v>283062</v>
      </c>
      <c r="J99">
        <v>185031</v>
      </c>
    </row>
    <row r="100" spans="1:10" x14ac:dyDescent="0.25">
      <c r="A100" s="1">
        <v>43312</v>
      </c>
      <c r="B100" t="s">
        <v>10</v>
      </c>
      <c r="C100" t="s">
        <v>16</v>
      </c>
      <c r="D100">
        <v>101150</v>
      </c>
      <c r="E100">
        <v>149480</v>
      </c>
      <c r="F100">
        <v>-48330</v>
      </c>
      <c r="G100">
        <v>-55261</v>
      </c>
      <c r="H100">
        <v>274740</v>
      </c>
      <c r="I100">
        <v>478496</v>
      </c>
      <c r="J100">
        <v>-203756</v>
      </c>
    </row>
    <row r="101" spans="1:10" x14ac:dyDescent="0.25">
      <c r="A101" s="1">
        <v>43312</v>
      </c>
      <c r="B101" t="s">
        <v>10</v>
      </c>
      <c r="C101" t="s">
        <v>17</v>
      </c>
      <c r="D101">
        <v>166617</v>
      </c>
      <c r="E101">
        <v>154841</v>
      </c>
      <c r="F101">
        <v>11776</v>
      </c>
      <c r="G101">
        <v>6264</v>
      </c>
      <c r="H101">
        <v>377247</v>
      </c>
      <c r="I101">
        <v>763165</v>
      </c>
      <c r="J101">
        <v>-385918</v>
      </c>
    </row>
    <row r="102" spans="1:10" x14ac:dyDescent="0.25">
      <c r="A102" s="1">
        <v>43312</v>
      </c>
      <c r="B102" t="s">
        <v>11</v>
      </c>
      <c r="C102" t="s">
        <v>14</v>
      </c>
      <c r="D102">
        <v>105237</v>
      </c>
      <c r="E102">
        <v>80056</v>
      </c>
      <c r="F102">
        <v>25181</v>
      </c>
      <c r="G102">
        <v>7406</v>
      </c>
      <c r="H102">
        <v>387628</v>
      </c>
      <c r="I102">
        <v>738836</v>
      </c>
      <c r="J102">
        <v>-351208</v>
      </c>
    </row>
    <row r="103" spans="1:10" x14ac:dyDescent="0.25">
      <c r="A103" s="1">
        <v>43312</v>
      </c>
      <c r="B103" t="s">
        <v>11</v>
      </c>
      <c r="C103" t="s">
        <v>15</v>
      </c>
      <c r="D103">
        <v>103343</v>
      </c>
      <c r="E103">
        <v>73500</v>
      </c>
      <c r="F103">
        <v>29843</v>
      </c>
      <c r="G103">
        <v>20773</v>
      </c>
      <c r="H103">
        <v>753663</v>
      </c>
      <c r="I103">
        <v>765022</v>
      </c>
      <c r="J103">
        <v>-11359</v>
      </c>
    </row>
    <row r="104" spans="1:10" x14ac:dyDescent="0.25">
      <c r="A104" s="1">
        <v>43312</v>
      </c>
      <c r="B104" t="s">
        <v>11</v>
      </c>
      <c r="C104" t="s">
        <v>16</v>
      </c>
      <c r="D104">
        <v>116964</v>
      </c>
      <c r="E104">
        <v>119638</v>
      </c>
      <c r="F104">
        <v>-2674</v>
      </c>
      <c r="G104">
        <v>-15804</v>
      </c>
      <c r="H104">
        <v>940427</v>
      </c>
      <c r="I104">
        <v>612153</v>
      </c>
      <c r="J104">
        <v>328274</v>
      </c>
    </row>
    <row r="105" spans="1:10" x14ac:dyDescent="0.25">
      <c r="A105" s="1">
        <v>43312</v>
      </c>
      <c r="B105" t="s">
        <v>11</v>
      </c>
      <c r="C105" t="s">
        <v>17</v>
      </c>
      <c r="D105">
        <v>167215</v>
      </c>
      <c r="E105">
        <v>129042</v>
      </c>
      <c r="F105">
        <v>38173</v>
      </c>
      <c r="G105">
        <v>19889</v>
      </c>
      <c r="H105">
        <v>403861</v>
      </c>
      <c r="I105">
        <v>455612</v>
      </c>
      <c r="J105">
        <v>-51751</v>
      </c>
    </row>
    <row r="106" spans="1:10" x14ac:dyDescent="0.25">
      <c r="A106" s="1">
        <v>43312</v>
      </c>
      <c r="B106" t="s">
        <v>12</v>
      </c>
      <c r="C106" t="s">
        <v>14</v>
      </c>
      <c r="D106">
        <v>161389</v>
      </c>
      <c r="E106">
        <v>69435</v>
      </c>
      <c r="F106">
        <v>91954</v>
      </c>
      <c r="G106">
        <v>81766</v>
      </c>
      <c r="H106">
        <v>899438</v>
      </c>
      <c r="I106">
        <v>675581</v>
      </c>
      <c r="J106">
        <v>223857</v>
      </c>
    </row>
    <row r="107" spans="1:10" x14ac:dyDescent="0.25">
      <c r="A107" s="1">
        <v>43312</v>
      </c>
      <c r="B107" t="s">
        <v>12</v>
      </c>
      <c r="C107" t="s">
        <v>15</v>
      </c>
      <c r="D107">
        <v>195981</v>
      </c>
      <c r="E107">
        <v>138781</v>
      </c>
      <c r="F107">
        <v>57200</v>
      </c>
      <c r="G107">
        <v>40949</v>
      </c>
      <c r="H107">
        <v>360196</v>
      </c>
      <c r="I107">
        <v>326507</v>
      </c>
      <c r="J107">
        <v>33689</v>
      </c>
    </row>
    <row r="108" spans="1:10" x14ac:dyDescent="0.25">
      <c r="A108" s="1">
        <v>43312</v>
      </c>
      <c r="B108" t="s">
        <v>12</v>
      </c>
      <c r="C108" t="s">
        <v>16</v>
      </c>
      <c r="D108">
        <v>143919</v>
      </c>
      <c r="E108">
        <v>95247</v>
      </c>
      <c r="F108">
        <v>48672</v>
      </c>
      <c r="G108">
        <v>37188</v>
      </c>
      <c r="H108">
        <v>556902</v>
      </c>
      <c r="I108">
        <v>584963</v>
      </c>
      <c r="J108">
        <v>-28061</v>
      </c>
    </row>
    <row r="109" spans="1:10" x14ac:dyDescent="0.25">
      <c r="A109" s="1">
        <v>43312</v>
      </c>
      <c r="B109" t="s">
        <v>12</v>
      </c>
      <c r="C109" t="s">
        <v>17</v>
      </c>
      <c r="D109">
        <v>162752</v>
      </c>
      <c r="E109">
        <v>116573</v>
      </c>
      <c r="F109">
        <v>46179</v>
      </c>
      <c r="G109">
        <v>31230</v>
      </c>
      <c r="H109">
        <v>695972</v>
      </c>
      <c r="I109">
        <v>388790</v>
      </c>
      <c r="J109">
        <v>307182</v>
      </c>
    </row>
    <row r="110" spans="1:10" x14ac:dyDescent="0.25">
      <c r="A110" s="1">
        <v>43312</v>
      </c>
      <c r="B110" t="s">
        <v>13</v>
      </c>
      <c r="C110" t="s">
        <v>14</v>
      </c>
      <c r="D110">
        <v>123049</v>
      </c>
      <c r="E110">
        <v>139605</v>
      </c>
      <c r="F110">
        <v>-16556</v>
      </c>
      <c r="G110">
        <v>-24405</v>
      </c>
      <c r="H110">
        <v>850419</v>
      </c>
      <c r="I110">
        <v>533374</v>
      </c>
      <c r="J110">
        <v>317045</v>
      </c>
    </row>
    <row r="111" spans="1:10" x14ac:dyDescent="0.25">
      <c r="A111" s="1">
        <v>43312</v>
      </c>
      <c r="B111" t="s">
        <v>13</v>
      </c>
      <c r="C111" t="s">
        <v>15</v>
      </c>
      <c r="D111">
        <v>165417</v>
      </c>
      <c r="E111">
        <v>83289</v>
      </c>
      <c r="F111">
        <v>82128</v>
      </c>
      <c r="G111">
        <v>65206</v>
      </c>
      <c r="H111">
        <v>471967</v>
      </c>
      <c r="I111">
        <v>291232</v>
      </c>
      <c r="J111">
        <v>180735</v>
      </c>
    </row>
    <row r="112" spans="1:10" x14ac:dyDescent="0.25">
      <c r="A112" s="1">
        <v>43312</v>
      </c>
      <c r="B112" t="s">
        <v>13</v>
      </c>
      <c r="C112" t="s">
        <v>16</v>
      </c>
      <c r="D112">
        <v>141975</v>
      </c>
      <c r="E112">
        <v>69540</v>
      </c>
      <c r="F112">
        <v>72435</v>
      </c>
      <c r="G112">
        <v>62824</v>
      </c>
      <c r="H112">
        <v>751951</v>
      </c>
      <c r="I112">
        <v>151991</v>
      </c>
      <c r="J112">
        <v>599960</v>
      </c>
    </row>
    <row r="113" spans="1:10" x14ac:dyDescent="0.25">
      <c r="A113" s="1">
        <v>43312</v>
      </c>
      <c r="B113" t="s">
        <v>13</v>
      </c>
      <c r="C113" t="s">
        <v>17</v>
      </c>
      <c r="D113">
        <v>157679</v>
      </c>
      <c r="E113">
        <v>90977</v>
      </c>
      <c r="F113">
        <v>66702</v>
      </c>
      <c r="G113">
        <v>48918</v>
      </c>
      <c r="H113">
        <v>249115</v>
      </c>
      <c r="I113">
        <v>453151</v>
      </c>
      <c r="J113">
        <v>-204036</v>
      </c>
    </row>
    <row r="114" spans="1:10" x14ac:dyDescent="0.25">
      <c r="A114" s="1">
        <v>43343</v>
      </c>
      <c r="B114" t="s">
        <v>10</v>
      </c>
      <c r="C114" t="s">
        <v>14</v>
      </c>
      <c r="D114">
        <v>188223</v>
      </c>
      <c r="E114">
        <v>120890</v>
      </c>
      <c r="F114">
        <v>67333</v>
      </c>
      <c r="G114">
        <v>61482</v>
      </c>
      <c r="H114">
        <v>349143</v>
      </c>
      <c r="I114">
        <v>636226</v>
      </c>
      <c r="J114">
        <v>-287083</v>
      </c>
    </row>
    <row r="115" spans="1:10" x14ac:dyDescent="0.25">
      <c r="A115" s="1">
        <v>43343</v>
      </c>
      <c r="B115" t="s">
        <v>10</v>
      </c>
      <c r="C115" t="s">
        <v>15</v>
      </c>
      <c r="D115">
        <v>135195</v>
      </c>
      <c r="E115">
        <v>151680</v>
      </c>
      <c r="F115">
        <v>-16485</v>
      </c>
      <c r="G115">
        <v>-25485</v>
      </c>
      <c r="H115">
        <v>925948</v>
      </c>
      <c r="I115">
        <v>455754</v>
      </c>
      <c r="J115">
        <v>470194</v>
      </c>
    </row>
    <row r="116" spans="1:10" x14ac:dyDescent="0.25">
      <c r="A116" s="1">
        <v>43343</v>
      </c>
      <c r="B116" t="s">
        <v>10</v>
      </c>
      <c r="C116" t="s">
        <v>16</v>
      </c>
      <c r="D116">
        <v>197856</v>
      </c>
      <c r="E116">
        <v>98304</v>
      </c>
      <c r="F116">
        <v>99552</v>
      </c>
      <c r="G116">
        <v>81073</v>
      </c>
      <c r="H116">
        <v>531593</v>
      </c>
      <c r="I116">
        <v>707274</v>
      </c>
      <c r="J116">
        <v>-175681</v>
      </c>
    </row>
    <row r="117" spans="1:10" x14ac:dyDescent="0.25">
      <c r="A117" s="1">
        <v>43343</v>
      </c>
      <c r="B117" t="s">
        <v>10</v>
      </c>
      <c r="C117" t="s">
        <v>17</v>
      </c>
      <c r="D117">
        <v>189643</v>
      </c>
      <c r="E117">
        <v>80764</v>
      </c>
      <c r="F117">
        <v>108879</v>
      </c>
      <c r="G117">
        <v>93243</v>
      </c>
      <c r="H117">
        <v>465517</v>
      </c>
      <c r="I117">
        <v>767521</v>
      </c>
      <c r="J117">
        <v>-302004</v>
      </c>
    </row>
    <row r="118" spans="1:10" x14ac:dyDescent="0.25">
      <c r="A118" s="1">
        <v>43343</v>
      </c>
      <c r="B118" t="s">
        <v>11</v>
      </c>
      <c r="C118" t="s">
        <v>14</v>
      </c>
      <c r="D118">
        <v>197532</v>
      </c>
      <c r="E118">
        <v>152658</v>
      </c>
      <c r="F118">
        <v>44874</v>
      </c>
      <c r="G118">
        <v>30929</v>
      </c>
      <c r="H118">
        <v>824674</v>
      </c>
      <c r="I118">
        <v>651638</v>
      </c>
      <c r="J118">
        <v>173036</v>
      </c>
    </row>
    <row r="119" spans="1:10" x14ac:dyDescent="0.25">
      <c r="A119" s="1">
        <v>43343</v>
      </c>
      <c r="B119" t="s">
        <v>11</v>
      </c>
      <c r="C119" t="s">
        <v>15</v>
      </c>
      <c r="D119">
        <v>193008</v>
      </c>
      <c r="E119">
        <v>154297</v>
      </c>
      <c r="F119">
        <v>38711</v>
      </c>
      <c r="G119">
        <v>24744</v>
      </c>
      <c r="H119">
        <v>812956</v>
      </c>
      <c r="I119">
        <v>738873</v>
      </c>
      <c r="J119">
        <v>74083</v>
      </c>
    </row>
    <row r="120" spans="1:10" x14ac:dyDescent="0.25">
      <c r="A120" s="1">
        <v>43343</v>
      </c>
      <c r="B120" t="s">
        <v>11</v>
      </c>
      <c r="C120" t="s">
        <v>16</v>
      </c>
      <c r="D120">
        <v>115305</v>
      </c>
      <c r="E120">
        <v>135353</v>
      </c>
      <c r="F120">
        <v>-20048</v>
      </c>
      <c r="G120">
        <v>-36309</v>
      </c>
      <c r="H120">
        <v>265953</v>
      </c>
      <c r="I120">
        <v>600328</v>
      </c>
      <c r="J120">
        <v>-334375</v>
      </c>
    </row>
    <row r="121" spans="1:10" x14ac:dyDescent="0.25">
      <c r="A121" s="1">
        <v>43343</v>
      </c>
      <c r="B121" t="s">
        <v>11</v>
      </c>
      <c r="C121" t="s">
        <v>17</v>
      </c>
      <c r="D121">
        <v>120358</v>
      </c>
      <c r="E121">
        <v>63267</v>
      </c>
      <c r="F121">
        <v>57091</v>
      </c>
      <c r="G121">
        <v>51266</v>
      </c>
      <c r="H121">
        <v>357164</v>
      </c>
      <c r="I121">
        <v>635626</v>
      </c>
      <c r="J121">
        <v>-278462</v>
      </c>
    </row>
    <row r="122" spans="1:10" x14ac:dyDescent="0.25">
      <c r="A122" s="1">
        <v>43343</v>
      </c>
      <c r="B122" t="s">
        <v>12</v>
      </c>
      <c r="C122" t="s">
        <v>14</v>
      </c>
      <c r="D122">
        <v>100412</v>
      </c>
      <c r="E122">
        <v>67543</v>
      </c>
      <c r="F122">
        <v>32869</v>
      </c>
      <c r="G122">
        <v>20282</v>
      </c>
      <c r="H122">
        <v>260692</v>
      </c>
      <c r="I122">
        <v>320156</v>
      </c>
      <c r="J122">
        <v>-59464</v>
      </c>
    </row>
    <row r="123" spans="1:10" x14ac:dyDescent="0.25">
      <c r="A123" s="1">
        <v>43343</v>
      </c>
      <c r="B123" t="s">
        <v>12</v>
      </c>
      <c r="C123" t="s">
        <v>15</v>
      </c>
      <c r="D123">
        <v>192920</v>
      </c>
      <c r="E123">
        <v>104425</v>
      </c>
      <c r="F123">
        <v>88495</v>
      </c>
      <c r="G123">
        <v>77507</v>
      </c>
      <c r="H123">
        <v>743176</v>
      </c>
      <c r="I123">
        <v>791095</v>
      </c>
      <c r="J123">
        <v>-47919</v>
      </c>
    </row>
    <row r="124" spans="1:10" x14ac:dyDescent="0.25">
      <c r="A124" s="1">
        <v>43343</v>
      </c>
      <c r="B124" t="s">
        <v>12</v>
      </c>
      <c r="C124" t="s">
        <v>16</v>
      </c>
      <c r="D124">
        <v>147295</v>
      </c>
      <c r="E124">
        <v>143042</v>
      </c>
      <c r="F124">
        <v>4253</v>
      </c>
      <c r="G124">
        <v>-4826</v>
      </c>
      <c r="H124">
        <v>217955</v>
      </c>
      <c r="I124">
        <v>170640</v>
      </c>
      <c r="J124">
        <v>47315</v>
      </c>
    </row>
    <row r="125" spans="1:10" x14ac:dyDescent="0.25">
      <c r="A125" s="1">
        <v>43343</v>
      </c>
      <c r="B125" t="s">
        <v>12</v>
      </c>
      <c r="C125" t="s">
        <v>17</v>
      </c>
      <c r="D125">
        <v>165510</v>
      </c>
      <c r="E125">
        <v>94911</v>
      </c>
      <c r="F125">
        <v>70599</v>
      </c>
      <c r="G125">
        <v>55720</v>
      </c>
      <c r="H125">
        <v>944086</v>
      </c>
      <c r="I125">
        <v>500573</v>
      </c>
      <c r="J125">
        <v>443513</v>
      </c>
    </row>
    <row r="126" spans="1:10" x14ac:dyDescent="0.25">
      <c r="A126" s="1">
        <v>43343</v>
      </c>
      <c r="B126" t="s">
        <v>13</v>
      </c>
      <c r="C126" t="s">
        <v>14</v>
      </c>
      <c r="D126">
        <v>132479</v>
      </c>
      <c r="E126">
        <v>121476</v>
      </c>
      <c r="F126">
        <v>11003</v>
      </c>
      <c r="G126">
        <v>-6040</v>
      </c>
      <c r="H126">
        <v>367280</v>
      </c>
      <c r="I126">
        <v>775510</v>
      </c>
      <c r="J126">
        <v>-408230</v>
      </c>
    </row>
    <row r="127" spans="1:10" x14ac:dyDescent="0.25">
      <c r="A127" s="1">
        <v>43343</v>
      </c>
      <c r="B127" t="s">
        <v>13</v>
      </c>
      <c r="C127" t="s">
        <v>15</v>
      </c>
      <c r="D127">
        <v>171180</v>
      </c>
      <c r="E127">
        <v>103286</v>
      </c>
      <c r="F127">
        <v>67894</v>
      </c>
      <c r="G127">
        <v>48342</v>
      </c>
      <c r="H127">
        <v>614568</v>
      </c>
      <c r="I127">
        <v>286141</v>
      </c>
      <c r="J127">
        <v>328427</v>
      </c>
    </row>
    <row r="128" spans="1:10" x14ac:dyDescent="0.25">
      <c r="A128" s="1">
        <v>43343</v>
      </c>
      <c r="B128" t="s">
        <v>13</v>
      </c>
      <c r="C128" t="s">
        <v>16</v>
      </c>
      <c r="D128">
        <v>114397</v>
      </c>
      <c r="E128">
        <v>101555</v>
      </c>
      <c r="F128">
        <v>12842</v>
      </c>
      <c r="G128">
        <v>-6349</v>
      </c>
      <c r="H128">
        <v>319180</v>
      </c>
      <c r="I128">
        <v>166234</v>
      </c>
      <c r="J128">
        <v>152946</v>
      </c>
    </row>
    <row r="129" spans="1:10" x14ac:dyDescent="0.25">
      <c r="A129" s="1">
        <v>43343</v>
      </c>
      <c r="B129" t="s">
        <v>13</v>
      </c>
      <c r="C129" t="s">
        <v>17</v>
      </c>
      <c r="D129">
        <v>139954</v>
      </c>
      <c r="E129">
        <v>107280</v>
      </c>
      <c r="F129">
        <v>32674</v>
      </c>
      <c r="G129">
        <v>13751</v>
      </c>
      <c r="H129">
        <v>609995</v>
      </c>
      <c r="I129">
        <v>295004</v>
      </c>
      <c r="J129">
        <v>314991</v>
      </c>
    </row>
    <row r="130" spans="1:10" x14ac:dyDescent="0.25">
      <c r="A130" s="1">
        <v>43373</v>
      </c>
      <c r="B130" t="s">
        <v>10</v>
      </c>
      <c r="C130" t="s">
        <v>14</v>
      </c>
      <c r="D130">
        <v>172936</v>
      </c>
      <c r="E130">
        <v>84466</v>
      </c>
      <c r="F130">
        <v>88470</v>
      </c>
      <c r="G130">
        <v>79299</v>
      </c>
      <c r="H130">
        <v>925256</v>
      </c>
      <c r="I130">
        <v>159163</v>
      </c>
      <c r="J130">
        <v>766093</v>
      </c>
    </row>
    <row r="131" spans="1:10" x14ac:dyDescent="0.25">
      <c r="A131" s="1">
        <v>43373</v>
      </c>
      <c r="B131" t="s">
        <v>10</v>
      </c>
      <c r="C131" t="s">
        <v>15</v>
      </c>
      <c r="D131">
        <v>182637</v>
      </c>
      <c r="E131">
        <v>111934</v>
      </c>
      <c r="F131">
        <v>70703</v>
      </c>
      <c r="G131">
        <v>60757</v>
      </c>
      <c r="H131">
        <v>654137</v>
      </c>
      <c r="I131">
        <v>105486</v>
      </c>
      <c r="J131">
        <v>548651</v>
      </c>
    </row>
    <row r="132" spans="1:10" x14ac:dyDescent="0.25">
      <c r="A132" s="1">
        <v>43373</v>
      </c>
      <c r="B132" t="s">
        <v>10</v>
      </c>
      <c r="C132" t="s">
        <v>16</v>
      </c>
      <c r="D132">
        <v>108335</v>
      </c>
      <c r="E132">
        <v>146900</v>
      </c>
      <c r="F132">
        <v>-38565</v>
      </c>
      <c r="G132">
        <v>-54897</v>
      </c>
      <c r="H132">
        <v>827083</v>
      </c>
      <c r="I132">
        <v>320184</v>
      </c>
      <c r="J132">
        <v>506899</v>
      </c>
    </row>
    <row r="133" spans="1:10" x14ac:dyDescent="0.25">
      <c r="A133" s="1">
        <v>43373</v>
      </c>
      <c r="B133" t="s">
        <v>10</v>
      </c>
      <c r="C133" t="s">
        <v>17</v>
      </c>
      <c r="D133">
        <v>197203</v>
      </c>
      <c r="E133">
        <v>71130</v>
      </c>
      <c r="F133">
        <v>126073</v>
      </c>
      <c r="G133">
        <v>115485</v>
      </c>
      <c r="H133">
        <v>961315</v>
      </c>
      <c r="I133">
        <v>742612</v>
      </c>
      <c r="J133">
        <v>218703</v>
      </c>
    </row>
    <row r="134" spans="1:10" x14ac:dyDescent="0.25">
      <c r="A134" s="1">
        <v>43373</v>
      </c>
      <c r="B134" t="s">
        <v>11</v>
      </c>
      <c r="C134" t="s">
        <v>14</v>
      </c>
      <c r="D134">
        <v>160566</v>
      </c>
      <c r="E134">
        <v>126703</v>
      </c>
      <c r="F134">
        <v>33863</v>
      </c>
      <c r="G134">
        <v>18055</v>
      </c>
      <c r="H134">
        <v>987494</v>
      </c>
      <c r="I134">
        <v>708364</v>
      </c>
      <c r="J134">
        <v>279130</v>
      </c>
    </row>
    <row r="135" spans="1:10" x14ac:dyDescent="0.25">
      <c r="A135" s="1">
        <v>43373</v>
      </c>
      <c r="B135" t="s">
        <v>11</v>
      </c>
      <c r="C135" t="s">
        <v>15</v>
      </c>
      <c r="D135">
        <v>189780</v>
      </c>
      <c r="E135">
        <v>81545</v>
      </c>
      <c r="F135">
        <v>108235</v>
      </c>
      <c r="G135">
        <v>97930</v>
      </c>
      <c r="H135">
        <v>997606</v>
      </c>
      <c r="I135">
        <v>450605</v>
      </c>
      <c r="J135">
        <v>547001</v>
      </c>
    </row>
    <row r="136" spans="1:10" x14ac:dyDescent="0.25">
      <c r="A136" s="1">
        <v>43373</v>
      </c>
      <c r="B136" t="s">
        <v>11</v>
      </c>
      <c r="C136" t="s">
        <v>16</v>
      </c>
      <c r="D136">
        <v>109348</v>
      </c>
      <c r="E136">
        <v>83714</v>
      </c>
      <c r="F136">
        <v>25634</v>
      </c>
      <c r="G136">
        <v>15300</v>
      </c>
      <c r="H136">
        <v>274460</v>
      </c>
      <c r="I136">
        <v>464778</v>
      </c>
      <c r="J136">
        <v>-190318</v>
      </c>
    </row>
    <row r="137" spans="1:10" x14ac:dyDescent="0.25">
      <c r="A137" s="1">
        <v>43373</v>
      </c>
      <c r="B137" t="s">
        <v>11</v>
      </c>
      <c r="C137" t="s">
        <v>17</v>
      </c>
      <c r="D137">
        <v>189930</v>
      </c>
      <c r="E137">
        <v>66801</v>
      </c>
      <c r="F137">
        <v>123129</v>
      </c>
      <c r="G137">
        <v>113283</v>
      </c>
      <c r="H137">
        <v>927627</v>
      </c>
      <c r="I137">
        <v>279208</v>
      </c>
      <c r="J137">
        <v>648419</v>
      </c>
    </row>
    <row r="138" spans="1:10" x14ac:dyDescent="0.25">
      <c r="A138" s="1">
        <v>43373</v>
      </c>
      <c r="B138" t="s">
        <v>12</v>
      </c>
      <c r="C138" t="s">
        <v>14</v>
      </c>
      <c r="D138">
        <v>123625</v>
      </c>
      <c r="E138">
        <v>142873</v>
      </c>
      <c r="F138">
        <v>-19248</v>
      </c>
      <c r="G138">
        <v>-26787</v>
      </c>
      <c r="H138">
        <v>927952</v>
      </c>
      <c r="I138">
        <v>308124</v>
      </c>
      <c r="J138">
        <v>619828</v>
      </c>
    </row>
    <row r="139" spans="1:10" x14ac:dyDescent="0.25">
      <c r="A139" s="1">
        <v>43373</v>
      </c>
      <c r="B139" t="s">
        <v>12</v>
      </c>
      <c r="C139" t="s">
        <v>15</v>
      </c>
      <c r="D139">
        <v>144261</v>
      </c>
      <c r="E139">
        <v>61542</v>
      </c>
      <c r="F139">
        <v>82719</v>
      </c>
      <c r="G139">
        <v>72426</v>
      </c>
      <c r="H139">
        <v>377804</v>
      </c>
      <c r="I139">
        <v>139081</v>
      </c>
      <c r="J139">
        <v>238723</v>
      </c>
    </row>
    <row r="140" spans="1:10" x14ac:dyDescent="0.25">
      <c r="A140" s="1">
        <v>43373</v>
      </c>
      <c r="B140" t="s">
        <v>12</v>
      </c>
      <c r="C140" t="s">
        <v>16</v>
      </c>
      <c r="D140">
        <v>162856</v>
      </c>
      <c r="E140">
        <v>153105</v>
      </c>
      <c r="F140">
        <v>9751</v>
      </c>
      <c r="G140">
        <v>-2187</v>
      </c>
      <c r="H140">
        <v>717313</v>
      </c>
      <c r="I140">
        <v>314532</v>
      </c>
      <c r="J140">
        <v>402781</v>
      </c>
    </row>
    <row r="141" spans="1:10" x14ac:dyDescent="0.25">
      <c r="A141" s="1">
        <v>43373</v>
      </c>
      <c r="B141" t="s">
        <v>12</v>
      </c>
      <c r="C141" t="s">
        <v>17</v>
      </c>
      <c r="D141">
        <v>188092</v>
      </c>
      <c r="E141">
        <v>114693</v>
      </c>
      <c r="F141">
        <v>73399</v>
      </c>
      <c r="G141">
        <v>57821</v>
      </c>
      <c r="H141">
        <v>228295</v>
      </c>
      <c r="I141">
        <v>113807</v>
      </c>
      <c r="J141">
        <v>114488</v>
      </c>
    </row>
    <row r="142" spans="1:10" x14ac:dyDescent="0.25">
      <c r="A142" s="1">
        <v>43373</v>
      </c>
      <c r="B142" t="s">
        <v>13</v>
      </c>
      <c r="C142" t="s">
        <v>14</v>
      </c>
      <c r="D142">
        <v>142348</v>
      </c>
      <c r="E142">
        <v>86432</v>
      </c>
      <c r="F142">
        <v>55916</v>
      </c>
      <c r="G142">
        <v>49551</v>
      </c>
      <c r="H142">
        <v>438067</v>
      </c>
      <c r="I142">
        <v>585008</v>
      </c>
      <c r="J142">
        <v>-146941</v>
      </c>
    </row>
    <row r="143" spans="1:10" x14ac:dyDescent="0.25">
      <c r="A143" s="1">
        <v>43373</v>
      </c>
      <c r="B143" t="s">
        <v>13</v>
      </c>
      <c r="C143" t="s">
        <v>15</v>
      </c>
      <c r="D143">
        <v>157854</v>
      </c>
      <c r="E143">
        <v>100262</v>
      </c>
      <c r="F143">
        <v>57592</v>
      </c>
      <c r="G143">
        <v>48280</v>
      </c>
      <c r="H143">
        <v>594540</v>
      </c>
      <c r="I143">
        <v>617923</v>
      </c>
      <c r="J143">
        <v>-23383</v>
      </c>
    </row>
    <row r="144" spans="1:10" x14ac:dyDescent="0.25">
      <c r="A144" s="1">
        <v>43373</v>
      </c>
      <c r="B144" t="s">
        <v>13</v>
      </c>
      <c r="C144" t="s">
        <v>16</v>
      </c>
      <c r="D144">
        <v>135909</v>
      </c>
      <c r="E144">
        <v>149339</v>
      </c>
      <c r="F144">
        <v>-13430</v>
      </c>
      <c r="G144">
        <v>-21916</v>
      </c>
      <c r="H144">
        <v>403196</v>
      </c>
      <c r="I144">
        <v>348683</v>
      </c>
      <c r="J144">
        <v>54513</v>
      </c>
    </row>
    <row r="145" spans="1:10" x14ac:dyDescent="0.25">
      <c r="A145" s="1">
        <v>43373</v>
      </c>
      <c r="B145" t="s">
        <v>13</v>
      </c>
      <c r="C145" t="s">
        <v>17</v>
      </c>
      <c r="D145">
        <v>126790</v>
      </c>
      <c r="E145">
        <v>85289</v>
      </c>
      <c r="F145">
        <v>41501</v>
      </c>
      <c r="G145">
        <v>30524</v>
      </c>
      <c r="H145">
        <v>949074</v>
      </c>
      <c r="I145">
        <v>587462</v>
      </c>
      <c r="J145">
        <v>361612</v>
      </c>
    </row>
    <row r="146" spans="1:10" x14ac:dyDescent="0.25">
      <c r="A146" s="1">
        <v>43404</v>
      </c>
      <c r="B146" t="s">
        <v>10</v>
      </c>
      <c r="C146" t="s">
        <v>14</v>
      </c>
      <c r="D146">
        <v>115485</v>
      </c>
      <c r="E146">
        <v>104482</v>
      </c>
      <c r="F146">
        <v>11003</v>
      </c>
      <c r="G146">
        <v>1735</v>
      </c>
      <c r="H146">
        <v>729036</v>
      </c>
      <c r="I146">
        <v>764795</v>
      </c>
      <c r="J146">
        <v>-35759</v>
      </c>
    </row>
    <row r="147" spans="1:10" x14ac:dyDescent="0.25">
      <c r="A147" s="1">
        <v>43404</v>
      </c>
      <c r="B147" t="s">
        <v>10</v>
      </c>
      <c r="C147" t="s">
        <v>15</v>
      </c>
      <c r="D147">
        <v>103709</v>
      </c>
      <c r="E147">
        <v>90355</v>
      </c>
      <c r="F147">
        <v>13354</v>
      </c>
      <c r="G147">
        <v>1735</v>
      </c>
      <c r="H147">
        <v>651015</v>
      </c>
      <c r="I147">
        <v>506332</v>
      </c>
      <c r="J147">
        <v>144683</v>
      </c>
    </row>
    <row r="148" spans="1:10" x14ac:dyDescent="0.25">
      <c r="A148" s="1">
        <v>43404</v>
      </c>
      <c r="B148" t="s">
        <v>10</v>
      </c>
      <c r="C148" t="s">
        <v>16</v>
      </c>
      <c r="D148">
        <v>125470</v>
      </c>
      <c r="E148">
        <v>102344</v>
      </c>
      <c r="F148">
        <v>23126</v>
      </c>
      <c r="G148">
        <v>7976</v>
      </c>
      <c r="H148">
        <v>763586</v>
      </c>
      <c r="I148">
        <v>601708</v>
      </c>
      <c r="J148">
        <v>161878</v>
      </c>
    </row>
    <row r="149" spans="1:10" x14ac:dyDescent="0.25">
      <c r="A149" s="1">
        <v>43404</v>
      </c>
      <c r="B149" t="s">
        <v>10</v>
      </c>
      <c r="C149" t="s">
        <v>17</v>
      </c>
      <c r="D149">
        <v>180219</v>
      </c>
      <c r="E149">
        <v>121629</v>
      </c>
      <c r="F149">
        <v>58590</v>
      </c>
      <c r="G149">
        <v>53086</v>
      </c>
      <c r="H149">
        <v>692734</v>
      </c>
      <c r="I149">
        <v>390160</v>
      </c>
      <c r="J149">
        <v>302574</v>
      </c>
    </row>
    <row r="150" spans="1:10" x14ac:dyDescent="0.25">
      <c r="A150" s="1">
        <v>43404</v>
      </c>
      <c r="B150" t="s">
        <v>11</v>
      </c>
      <c r="C150" t="s">
        <v>14</v>
      </c>
      <c r="D150">
        <v>123960</v>
      </c>
      <c r="E150">
        <v>93591</v>
      </c>
      <c r="F150">
        <v>30369</v>
      </c>
      <c r="G150">
        <v>24441</v>
      </c>
      <c r="H150">
        <v>442804</v>
      </c>
      <c r="I150">
        <v>476965</v>
      </c>
      <c r="J150">
        <v>-34161</v>
      </c>
    </row>
    <row r="151" spans="1:10" x14ac:dyDescent="0.25">
      <c r="A151" s="1">
        <v>43404</v>
      </c>
      <c r="B151" t="s">
        <v>11</v>
      </c>
      <c r="C151" t="s">
        <v>15</v>
      </c>
      <c r="D151">
        <v>167641</v>
      </c>
      <c r="E151">
        <v>96395</v>
      </c>
      <c r="F151">
        <v>71246</v>
      </c>
      <c r="G151">
        <v>53274</v>
      </c>
      <c r="H151">
        <v>853983</v>
      </c>
      <c r="I151">
        <v>515916</v>
      </c>
      <c r="J151">
        <v>338067</v>
      </c>
    </row>
    <row r="152" spans="1:10" x14ac:dyDescent="0.25">
      <c r="A152" s="1">
        <v>43404</v>
      </c>
      <c r="B152" t="s">
        <v>11</v>
      </c>
      <c r="C152" t="s">
        <v>16</v>
      </c>
      <c r="D152">
        <v>134620</v>
      </c>
      <c r="E152">
        <v>80559</v>
      </c>
      <c r="F152">
        <v>54061</v>
      </c>
      <c r="G152">
        <v>37936</v>
      </c>
      <c r="H152">
        <v>555540</v>
      </c>
      <c r="I152">
        <v>292714</v>
      </c>
      <c r="J152">
        <v>262826</v>
      </c>
    </row>
    <row r="153" spans="1:10" x14ac:dyDescent="0.25">
      <c r="A153" s="1">
        <v>43404</v>
      </c>
      <c r="B153" t="s">
        <v>11</v>
      </c>
      <c r="C153" t="s">
        <v>17</v>
      </c>
      <c r="D153">
        <v>176539</v>
      </c>
      <c r="E153">
        <v>81732</v>
      </c>
      <c r="F153">
        <v>94807</v>
      </c>
      <c r="G153">
        <v>75820</v>
      </c>
      <c r="H153">
        <v>815650</v>
      </c>
      <c r="I153">
        <v>523570</v>
      </c>
      <c r="J153">
        <v>292080</v>
      </c>
    </row>
    <row r="154" spans="1:10" x14ac:dyDescent="0.25">
      <c r="A154" s="1">
        <v>43404</v>
      </c>
      <c r="B154" t="s">
        <v>12</v>
      </c>
      <c r="C154" t="s">
        <v>14</v>
      </c>
      <c r="D154">
        <v>113843</v>
      </c>
      <c r="E154">
        <v>131726</v>
      </c>
      <c r="F154">
        <v>-17883</v>
      </c>
      <c r="G154">
        <v>-24139</v>
      </c>
      <c r="H154">
        <v>252528</v>
      </c>
      <c r="I154">
        <v>359214</v>
      </c>
      <c r="J154">
        <v>-106686</v>
      </c>
    </row>
    <row r="155" spans="1:10" x14ac:dyDescent="0.25">
      <c r="A155" s="1">
        <v>43404</v>
      </c>
      <c r="B155" t="s">
        <v>12</v>
      </c>
      <c r="C155" t="s">
        <v>15</v>
      </c>
      <c r="D155">
        <v>152638</v>
      </c>
      <c r="E155">
        <v>112736</v>
      </c>
      <c r="F155">
        <v>39902</v>
      </c>
      <c r="G155">
        <v>25314</v>
      </c>
      <c r="H155">
        <v>834421</v>
      </c>
      <c r="I155">
        <v>468501</v>
      </c>
      <c r="J155">
        <v>365920</v>
      </c>
    </row>
    <row r="156" spans="1:10" x14ac:dyDescent="0.25">
      <c r="A156" s="1">
        <v>43404</v>
      </c>
      <c r="B156" t="s">
        <v>12</v>
      </c>
      <c r="C156" t="s">
        <v>16</v>
      </c>
      <c r="D156">
        <v>168866</v>
      </c>
      <c r="E156">
        <v>79087</v>
      </c>
      <c r="F156">
        <v>89779</v>
      </c>
      <c r="G156">
        <v>76117</v>
      </c>
      <c r="H156">
        <v>355576</v>
      </c>
      <c r="I156">
        <v>111023</v>
      </c>
      <c r="J156">
        <v>244553</v>
      </c>
    </row>
    <row r="157" spans="1:10" x14ac:dyDescent="0.25">
      <c r="A157" s="1">
        <v>43404</v>
      </c>
      <c r="B157" t="s">
        <v>12</v>
      </c>
      <c r="C157" t="s">
        <v>17</v>
      </c>
      <c r="D157">
        <v>121447</v>
      </c>
      <c r="E157">
        <v>150469</v>
      </c>
      <c r="F157">
        <v>-29022</v>
      </c>
      <c r="G157">
        <v>-45233</v>
      </c>
      <c r="H157">
        <v>486103</v>
      </c>
      <c r="I157">
        <v>166203</v>
      </c>
      <c r="J157">
        <v>319900</v>
      </c>
    </row>
    <row r="158" spans="1:10" x14ac:dyDescent="0.25">
      <c r="A158" s="1">
        <v>43404</v>
      </c>
      <c r="B158" t="s">
        <v>13</v>
      </c>
      <c r="C158" t="s">
        <v>14</v>
      </c>
      <c r="D158">
        <v>129703</v>
      </c>
      <c r="E158">
        <v>69337</v>
      </c>
      <c r="F158">
        <v>60366</v>
      </c>
      <c r="G158">
        <v>41707</v>
      </c>
      <c r="H158">
        <v>714723</v>
      </c>
      <c r="I158">
        <v>423673</v>
      </c>
      <c r="J158">
        <v>291050</v>
      </c>
    </row>
    <row r="159" spans="1:10" x14ac:dyDescent="0.25">
      <c r="A159" s="1">
        <v>43404</v>
      </c>
      <c r="B159" t="s">
        <v>13</v>
      </c>
      <c r="C159" t="s">
        <v>15</v>
      </c>
      <c r="D159">
        <v>184665</v>
      </c>
      <c r="E159">
        <v>91921</v>
      </c>
      <c r="F159">
        <v>92744</v>
      </c>
      <c r="G159">
        <v>87205</v>
      </c>
      <c r="H159">
        <v>620571</v>
      </c>
      <c r="I159">
        <v>227016</v>
      </c>
      <c r="J159">
        <v>393555</v>
      </c>
    </row>
    <row r="160" spans="1:10" x14ac:dyDescent="0.25">
      <c r="A160" s="1">
        <v>43404</v>
      </c>
      <c r="B160" t="s">
        <v>13</v>
      </c>
      <c r="C160" t="s">
        <v>16</v>
      </c>
      <c r="D160">
        <v>104835</v>
      </c>
      <c r="E160">
        <v>80159</v>
      </c>
      <c r="F160">
        <v>24676</v>
      </c>
      <c r="G160">
        <v>13634</v>
      </c>
      <c r="H160">
        <v>902965</v>
      </c>
      <c r="I160">
        <v>483934</v>
      </c>
      <c r="J160">
        <v>419031</v>
      </c>
    </row>
    <row r="161" spans="1:10" x14ac:dyDescent="0.25">
      <c r="A161" s="1">
        <v>43404</v>
      </c>
      <c r="B161" t="s">
        <v>13</v>
      </c>
      <c r="C161" t="s">
        <v>17</v>
      </c>
      <c r="D161">
        <v>138088</v>
      </c>
      <c r="E161">
        <v>138752</v>
      </c>
      <c r="F161">
        <v>-664</v>
      </c>
      <c r="G161">
        <v>-11796</v>
      </c>
      <c r="H161">
        <v>519187</v>
      </c>
      <c r="I161">
        <v>790907</v>
      </c>
      <c r="J161">
        <v>-271720</v>
      </c>
    </row>
    <row r="162" spans="1:10" x14ac:dyDescent="0.25">
      <c r="A162" s="1">
        <v>43434</v>
      </c>
      <c r="B162" t="s">
        <v>10</v>
      </c>
      <c r="C162" t="s">
        <v>14</v>
      </c>
      <c r="D162">
        <v>197007</v>
      </c>
      <c r="E162">
        <v>142844</v>
      </c>
      <c r="F162">
        <v>54163</v>
      </c>
      <c r="G162">
        <v>38015</v>
      </c>
      <c r="H162">
        <v>365421</v>
      </c>
      <c r="I162">
        <v>222402</v>
      </c>
      <c r="J162">
        <v>143019</v>
      </c>
    </row>
    <row r="163" spans="1:10" x14ac:dyDescent="0.25">
      <c r="A163" s="1">
        <v>43434</v>
      </c>
      <c r="B163" t="s">
        <v>10</v>
      </c>
      <c r="C163" t="s">
        <v>15</v>
      </c>
      <c r="D163">
        <v>145445</v>
      </c>
      <c r="E163">
        <v>65713</v>
      </c>
      <c r="F163">
        <v>79732</v>
      </c>
      <c r="G163">
        <v>67706</v>
      </c>
      <c r="H163">
        <v>773695</v>
      </c>
      <c r="I163">
        <v>563556</v>
      </c>
      <c r="J163">
        <v>210139</v>
      </c>
    </row>
    <row r="164" spans="1:10" x14ac:dyDescent="0.25">
      <c r="A164" s="1">
        <v>43434</v>
      </c>
      <c r="B164" t="s">
        <v>10</v>
      </c>
      <c r="C164" t="s">
        <v>16</v>
      </c>
      <c r="D164">
        <v>150990</v>
      </c>
      <c r="E164">
        <v>135672</v>
      </c>
      <c r="F164">
        <v>15318</v>
      </c>
      <c r="G164">
        <v>-4467</v>
      </c>
      <c r="H164">
        <v>678007</v>
      </c>
      <c r="I164">
        <v>517009</v>
      </c>
      <c r="J164">
        <v>160998</v>
      </c>
    </row>
    <row r="165" spans="1:10" x14ac:dyDescent="0.25">
      <c r="A165" s="1">
        <v>43434</v>
      </c>
      <c r="B165" t="s">
        <v>10</v>
      </c>
      <c r="C165" t="s">
        <v>17</v>
      </c>
      <c r="D165">
        <v>156570</v>
      </c>
      <c r="E165">
        <v>155084</v>
      </c>
      <c r="F165">
        <v>1486</v>
      </c>
      <c r="G165">
        <v>-8638</v>
      </c>
      <c r="H165">
        <v>725303</v>
      </c>
      <c r="I165">
        <v>161813</v>
      </c>
      <c r="J165">
        <v>563490</v>
      </c>
    </row>
    <row r="166" spans="1:10" x14ac:dyDescent="0.25">
      <c r="A166" s="1">
        <v>43434</v>
      </c>
      <c r="B166" t="s">
        <v>11</v>
      </c>
      <c r="C166" t="s">
        <v>14</v>
      </c>
      <c r="D166">
        <v>127712</v>
      </c>
      <c r="E166">
        <v>68415</v>
      </c>
      <c r="F166">
        <v>59297</v>
      </c>
      <c r="G166">
        <v>40747</v>
      </c>
      <c r="H166">
        <v>312816</v>
      </c>
      <c r="I166">
        <v>228778</v>
      </c>
      <c r="J166">
        <v>84038</v>
      </c>
    </row>
    <row r="167" spans="1:10" x14ac:dyDescent="0.25">
      <c r="A167" s="1">
        <v>43434</v>
      </c>
      <c r="B167" t="s">
        <v>11</v>
      </c>
      <c r="C167" t="s">
        <v>15</v>
      </c>
      <c r="D167">
        <v>162292</v>
      </c>
      <c r="E167">
        <v>83833</v>
      </c>
      <c r="F167">
        <v>78459</v>
      </c>
      <c r="G167">
        <v>69301</v>
      </c>
      <c r="H167">
        <v>918040</v>
      </c>
      <c r="I167">
        <v>369114</v>
      </c>
      <c r="J167">
        <v>548926</v>
      </c>
    </row>
    <row r="168" spans="1:10" x14ac:dyDescent="0.25">
      <c r="A168" s="1">
        <v>43434</v>
      </c>
      <c r="B168" t="s">
        <v>11</v>
      </c>
      <c r="C168" t="s">
        <v>16</v>
      </c>
      <c r="D168">
        <v>172474</v>
      </c>
      <c r="E168">
        <v>146704</v>
      </c>
      <c r="F168">
        <v>25770</v>
      </c>
      <c r="G168">
        <v>6998</v>
      </c>
      <c r="H168">
        <v>351456</v>
      </c>
      <c r="I168">
        <v>205570</v>
      </c>
      <c r="J168">
        <v>145886</v>
      </c>
    </row>
    <row r="169" spans="1:10" x14ac:dyDescent="0.25">
      <c r="A169" s="1">
        <v>43434</v>
      </c>
      <c r="B169" t="s">
        <v>11</v>
      </c>
      <c r="C169" t="s">
        <v>17</v>
      </c>
      <c r="D169">
        <v>108702</v>
      </c>
      <c r="E169">
        <v>60384</v>
      </c>
      <c r="F169">
        <v>48318</v>
      </c>
      <c r="G169">
        <v>42914</v>
      </c>
      <c r="H169">
        <v>903286</v>
      </c>
      <c r="I169">
        <v>374907</v>
      </c>
      <c r="J169">
        <v>528379</v>
      </c>
    </row>
    <row r="170" spans="1:10" x14ac:dyDescent="0.25">
      <c r="A170" s="1">
        <v>43434</v>
      </c>
      <c r="B170" t="s">
        <v>12</v>
      </c>
      <c r="C170" t="s">
        <v>14</v>
      </c>
      <c r="D170">
        <v>118384</v>
      </c>
      <c r="E170">
        <v>120100</v>
      </c>
      <c r="F170">
        <v>-1716</v>
      </c>
      <c r="G170">
        <v>-16576</v>
      </c>
      <c r="H170">
        <v>435365</v>
      </c>
      <c r="I170">
        <v>442786</v>
      </c>
      <c r="J170">
        <v>-7421</v>
      </c>
    </row>
    <row r="171" spans="1:10" x14ac:dyDescent="0.25">
      <c r="A171" s="1">
        <v>43434</v>
      </c>
      <c r="B171" t="s">
        <v>12</v>
      </c>
      <c r="C171" t="s">
        <v>15</v>
      </c>
      <c r="D171">
        <v>150612</v>
      </c>
      <c r="E171">
        <v>83574</v>
      </c>
      <c r="F171">
        <v>67038</v>
      </c>
      <c r="G171">
        <v>54898</v>
      </c>
      <c r="H171">
        <v>400244</v>
      </c>
      <c r="I171">
        <v>104809</v>
      </c>
      <c r="J171">
        <v>295435</v>
      </c>
    </row>
    <row r="172" spans="1:10" x14ac:dyDescent="0.25">
      <c r="A172" s="1">
        <v>43434</v>
      </c>
      <c r="B172" t="s">
        <v>12</v>
      </c>
      <c r="C172" t="s">
        <v>16</v>
      </c>
      <c r="D172">
        <v>132201</v>
      </c>
      <c r="E172">
        <v>113330</v>
      </c>
      <c r="F172">
        <v>18871</v>
      </c>
      <c r="G172">
        <v>415</v>
      </c>
      <c r="H172">
        <v>706964</v>
      </c>
      <c r="I172">
        <v>549613</v>
      </c>
      <c r="J172">
        <v>157351</v>
      </c>
    </row>
    <row r="173" spans="1:10" x14ac:dyDescent="0.25">
      <c r="A173" s="1">
        <v>43434</v>
      </c>
      <c r="B173" t="s">
        <v>12</v>
      </c>
      <c r="C173" t="s">
        <v>17</v>
      </c>
      <c r="D173">
        <v>138765</v>
      </c>
      <c r="E173">
        <v>94816</v>
      </c>
      <c r="F173">
        <v>43949</v>
      </c>
      <c r="G173">
        <v>26611</v>
      </c>
      <c r="H173">
        <v>516076</v>
      </c>
      <c r="I173">
        <v>646237</v>
      </c>
      <c r="J173">
        <v>-130161</v>
      </c>
    </row>
    <row r="174" spans="1:10" x14ac:dyDescent="0.25">
      <c r="A174" s="1">
        <v>43434</v>
      </c>
      <c r="B174" t="s">
        <v>13</v>
      </c>
      <c r="C174" t="s">
        <v>14</v>
      </c>
      <c r="D174">
        <v>170080</v>
      </c>
      <c r="E174">
        <v>97744</v>
      </c>
      <c r="F174">
        <v>72336</v>
      </c>
      <c r="G174">
        <v>54561</v>
      </c>
      <c r="H174">
        <v>292193</v>
      </c>
      <c r="I174">
        <v>136187</v>
      </c>
      <c r="J174">
        <v>156006</v>
      </c>
    </row>
    <row r="175" spans="1:10" x14ac:dyDescent="0.25">
      <c r="A175" s="1">
        <v>43434</v>
      </c>
      <c r="B175" t="s">
        <v>13</v>
      </c>
      <c r="C175" t="s">
        <v>15</v>
      </c>
      <c r="D175">
        <v>107239</v>
      </c>
      <c r="E175">
        <v>74489</v>
      </c>
      <c r="F175">
        <v>32750</v>
      </c>
      <c r="G175">
        <v>27501</v>
      </c>
      <c r="H175">
        <v>389089</v>
      </c>
      <c r="I175">
        <v>686165</v>
      </c>
      <c r="J175">
        <v>-297076</v>
      </c>
    </row>
    <row r="176" spans="1:10" x14ac:dyDescent="0.25">
      <c r="A176" s="1">
        <v>43434</v>
      </c>
      <c r="B176" t="s">
        <v>13</v>
      </c>
      <c r="C176" t="s">
        <v>16</v>
      </c>
      <c r="D176">
        <v>143125</v>
      </c>
      <c r="E176">
        <v>109922</v>
      </c>
      <c r="F176">
        <v>33203</v>
      </c>
      <c r="G176">
        <v>16049</v>
      </c>
      <c r="H176">
        <v>887409</v>
      </c>
      <c r="I176">
        <v>661419</v>
      </c>
      <c r="J176">
        <v>225990</v>
      </c>
    </row>
    <row r="177" spans="1:10" x14ac:dyDescent="0.25">
      <c r="A177" s="1">
        <v>43434</v>
      </c>
      <c r="B177" t="s">
        <v>13</v>
      </c>
      <c r="C177" t="s">
        <v>17</v>
      </c>
      <c r="D177">
        <v>142944</v>
      </c>
      <c r="E177">
        <v>133963</v>
      </c>
      <c r="F177">
        <v>8981</v>
      </c>
      <c r="G177">
        <v>-4599</v>
      </c>
      <c r="H177">
        <v>325917</v>
      </c>
      <c r="I177">
        <v>399770</v>
      </c>
      <c r="J177">
        <v>-73853</v>
      </c>
    </row>
    <row r="178" spans="1:10" x14ac:dyDescent="0.25">
      <c r="A178" s="1">
        <v>43465</v>
      </c>
      <c r="B178" t="s">
        <v>10</v>
      </c>
      <c r="C178" t="s">
        <v>14</v>
      </c>
      <c r="D178">
        <v>142808</v>
      </c>
      <c r="E178">
        <v>148464</v>
      </c>
      <c r="F178">
        <v>-5656</v>
      </c>
      <c r="G178">
        <v>-15375</v>
      </c>
      <c r="H178">
        <v>481342</v>
      </c>
      <c r="I178">
        <v>639542</v>
      </c>
      <c r="J178">
        <v>-158200</v>
      </c>
    </row>
    <row r="179" spans="1:10" x14ac:dyDescent="0.25">
      <c r="A179" s="1">
        <v>43465</v>
      </c>
      <c r="B179" t="s">
        <v>10</v>
      </c>
      <c r="C179" t="s">
        <v>15</v>
      </c>
      <c r="D179">
        <v>144238</v>
      </c>
      <c r="E179">
        <v>61252</v>
      </c>
      <c r="F179">
        <v>82986</v>
      </c>
      <c r="G179">
        <v>70990</v>
      </c>
      <c r="H179">
        <v>685450</v>
      </c>
      <c r="I179">
        <v>415826</v>
      </c>
      <c r="J179">
        <v>269624</v>
      </c>
    </row>
    <row r="180" spans="1:10" x14ac:dyDescent="0.25">
      <c r="A180" s="1">
        <v>43465</v>
      </c>
      <c r="B180" t="s">
        <v>10</v>
      </c>
      <c r="C180" t="s">
        <v>16</v>
      </c>
      <c r="D180">
        <v>159494</v>
      </c>
      <c r="E180">
        <v>141317</v>
      </c>
      <c r="F180">
        <v>18177</v>
      </c>
      <c r="G180">
        <v>126</v>
      </c>
      <c r="H180">
        <v>206949</v>
      </c>
      <c r="I180">
        <v>417537</v>
      </c>
      <c r="J180">
        <v>-210588</v>
      </c>
    </row>
    <row r="181" spans="1:10" x14ac:dyDescent="0.25">
      <c r="A181" s="1">
        <v>43465</v>
      </c>
      <c r="B181" t="s">
        <v>10</v>
      </c>
      <c r="C181" t="s">
        <v>17</v>
      </c>
      <c r="D181">
        <v>173553</v>
      </c>
      <c r="E181">
        <v>66941</v>
      </c>
      <c r="F181">
        <v>106612</v>
      </c>
      <c r="G181">
        <v>92062</v>
      </c>
      <c r="H181">
        <v>980722</v>
      </c>
      <c r="I181">
        <v>555102</v>
      </c>
      <c r="J181">
        <v>425620</v>
      </c>
    </row>
    <row r="182" spans="1:10" x14ac:dyDescent="0.25">
      <c r="A182" s="1">
        <v>43465</v>
      </c>
      <c r="B182" t="s">
        <v>11</v>
      </c>
      <c r="C182" t="s">
        <v>14</v>
      </c>
      <c r="D182">
        <v>175745</v>
      </c>
      <c r="E182">
        <v>143251</v>
      </c>
      <c r="F182">
        <v>32494</v>
      </c>
      <c r="G182">
        <v>14958</v>
      </c>
      <c r="H182">
        <v>515557</v>
      </c>
      <c r="I182">
        <v>404462</v>
      </c>
      <c r="J182">
        <v>111095</v>
      </c>
    </row>
    <row r="183" spans="1:10" x14ac:dyDescent="0.25">
      <c r="A183" s="1">
        <v>43465</v>
      </c>
      <c r="B183" t="s">
        <v>11</v>
      </c>
      <c r="C183" t="s">
        <v>15</v>
      </c>
      <c r="D183">
        <v>170173</v>
      </c>
      <c r="E183">
        <v>130390</v>
      </c>
      <c r="F183">
        <v>39783</v>
      </c>
      <c r="G183">
        <v>31606</v>
      </c>
      <c r="H183">
        <v>453490</v>
      </c>
      <c r="I183">
        <v>667376</v>
      </c>
      <c r="J183">
        <v>-213886</v>
      </c>
    </row>
    <row r="184" spans="1:10" x14ac:dyDescent="0.25">
      <c r="A184" s="1">
        <v>43465</v>
      </c>
      <c r="B184" t="s">
        <v>11</v>
      </c>
      <c r="C184" t="s">
        <v>16</v>
      </c>
      <c r="D184">
        <v>139811</v>
      </c>
      <c r="E184">
        <v>115479</v>
      </c>
      <c r="F184">
        <v>24332</v>
      </c>
      <c r="G184">
        <v>15860</v>
      </c>
      <c r="H184">
        <v>942729</v>
      </c>
      <c r="I184">
        <v>610736</v>
      </c>
      <c r="J184">
        <v>331993</v>
      </c>
    </row>
    <row r="185" spans="1:10" x14ac:dyDescent="0.25">
      <c r="A185" s="1">
        <v>43465</v>
      </c>
      <c r="B185" t="s">
        <v>11</v>
      </c>
      <c r="C185" t="s">
        <v>17</v>
      </c>
      <c r="D185">
        <v>119963</v>
      </c>
      <c r="E185">
        <v>115123</v>
      </c>
      <c r="F185">
        <v>4840</v>
      </c>
      <c r="G185">
        <v>-11383</v>
      </c>
      <c r="H185">
        <v>423777</v>
      </c>
      <c r="I185">
        <v>105569</v>
      </c>
      <c r="J185">
        <v>318208</v>
      </c>
    </row>
    <row r="186" spans="1:10" x14ac:dyDescent="0.25">
      <c r="A186" s="1">
        <v>43465</v>
      </c>
      <c r="B186" t="s">
        <v>12</v>
      </c>
      <c r="C186" t="s">
        <v>14</v>
      </c>
      <c r="D186">
        <v>169836</v>
      </c>
      <c r="E186">
        <v>96586</v>
      </c>
      <c r="F186">
        <v>73250</v>
      </c>
      <c r="G186">
        <v>55920</v>
      </c>
      <c r="H186">
        <v>867375</v>
      </c>
      <c r="I186">
        <v>145002</v>
      </c>
      <c r="J186">
        <v>722373</v>
      </c>
    </row>
    <row r="187" spans="1:10" x14ac:dyDescent="0.25">
      <c r="A187" s="1">
        <v>43465</v>
      </c>
      <c r="B187" t="s">
        <v>12</v>
      </c>
      <c r="C187" t="s">
        <v>15</v>
      </c>
      <c r="D187">
        <v>106254</v>
      </c>
      <c r="E187">
        <v>77144</v>
      </c>
      <c r="F187">
        <v>29110</v>
      </c>
      <c r="G187">
        <v>16280</v>
      </c>
      <c r="H187">
        <v>698870</v>
      </c>
      <c r="I187">
        <v>311791</v>
      </c>
      <c r="J187">
        <v>387079</v>
      </c>
    </row>
    <row r="188" spans="1:10" x14ac:dyDescent="0.25">
      <c r="A188" s="1">
        <v>43465</v>
      </c>
      <c r="B188" t="s">
        <v>12</v>
      </c>
      <c r="C188" t="s">
        <v>16</v>
      </c>
      <c r="D188">
        <v>171774</v>
      </c>
      <c r="E188">
        <v>66090</v>
      </c>
      <c r="F188">
        <v>105684</v>
      </c>
      <c r="G188">
        <v>89047</v>
      </c>
      <c r="H188">
        <v>877775</v>
      </c>
      <c r="I188">
        <v>124071</v>
      </c>
      <c r="J188">
        <v>753704</v>
      </c>
    </row>
    <row r="189" spans="1:10" x14ac:dyDescent="0.25">
      <c r="A189" s="1">
        <v>43465</v>
      </c>
      <c r="B189" t="s">
        <v>12</v>
      </c>
      <c r="C189" t="s">
        <v>17</v>
      </c>
      <c r="D189">
        <v>158243</v>
      </c>
      <c r="E189">
        <v>101240</v>
      </c>
      <c r="F189">
        <v>57003</v>
      </c>
      <c r="G189">
        <v>40545</v>
      </c>
      <c r="H189">
        <v>414879</v>
      </c>
      <c r="I189">
        <v>463714</v>
      </c>
      <c r="J189">
        <v>-48835</v>
      </c>
    </row>
    <row r="190" spans="1:10" x14ac:dyDescent="0.25">
      <c r="A190" s="1">
        <v>43465</v>
      </c>
      <c r="B190" t="s">
        <v>13</v>
      </c>
      <c r="C190" t="s">
        <v>14</v>
      </c>
      <c r="D190">
        <v>133434</v>
      </c>
      <c r="E190">
        <v>129724</v>
      </c>
      <c r="F190">
        <v>3710</v>
      </c>
      <c r="G190">
        <v>-1961</v>
      </c>
      <c r="H190">
        <v>753020</v>
      </c>
      <c r="I190">
        <v>745753</v>
      </c>
      <c r="J190">
        <v>7267</v>
      </c>
    </row>
    <row r="191" spans="1:10" x14ac:dyDescent="0.25">
      <c r="A191" s="1">
        <v>43465</v>
      </c>
      <c r="B191" t="s">
        <v>13</v>
      </c>
      <c r="C191" t="s">
        <v>15</v>
      </c>
      <c r="D191">
        <v>111314</v>
      </c>
      <c r="E191">
        <v>83954</v>
      </c>
      <c r="F191">
        <v>27360</v>
      </c>
      <c r="G191">
        <v>14404</v>
      </c>
      <c r="H191">
        <v>680721</v>
      </c>
      <c r="I191">
        <v>211195</v>
      </c>
      <c r="J191">
        <v>469526</v>
      </c>
    </row>
    <row r="192" spans="1:10" x14ac:dyDescent="0.25">
      <c r="A192" s="1">
        <v>43465</v>
      </c>
      <c r="B192" t="s">
        <v>13</v>
      </c>
      <c r="C192" t="s">
        <v>16</v>
      </c>
      <c r="D192">
        <v>136668</v>
      </c>
      <c r="E192">
        <v>83061</v>
      </c>
      <c r="F192">
        <v>53607</v>
      </c>
      <c r="G192">
        <v>34891</v>
      </c>
      <c r="H192">
        <v>764037</v>
      </c>
      <c r="I192">
        <v>230560</v>
      </c>
      <c r="J192">
        <v>533477</v>
      </c>
    </row>
    <row r="193" spans="1:10" x14ac:dyDescent="0.25">
      <c r="A193" s="1">
        <v>43465</v>
      </c>
      <c r="B193" t="s">
        <v>13</v>
      </c>
      <c r="C193" t="s">
        <v>17</v>
      </c>
      <c r="D193">
        <v>116907</v>
      </c>
      <c r="E193">
        <v>78777</v>
      </c>
      <c r="F193">
        <v>38130</v>
      </c>
      <c r="G193">
        <v>21821</v>
      </c>
      <c r="H193">
        <v>251745</v>
      </c>
      <c r="I193">
        <v>470608</v>
      </c>
      <c r="J193">
        <v>-218863</v>
      </c>
    </row>
    <row r="194" spans="1:10" x14ac:dyDescent="0.25">
      <c r="A194" s="1">
        <v>43496</v>
      </c>
      <c r="B194" t="s">
        <v>10</v>
      </c>
      <c r="C194" t="s">
        <v>14</v>
      </c>
      <c r="D194">
        <v>191865</v>
      </c>
      <c r="E194">
        <v>141818</v>
      </c>
      <c r="F194">
        <v>50047</v>
      </c>
      <c r="G194">
        <v>37807</v>
      </c>
      <c r="H194">
        <v>223321</v>
      </c>
      <c r="I194">
        <v>503704</v>
      </c>
      <c r="J194">
        <v>-280383</v>
      </c>
    </row>
    <row r="195" spans="1:10" x14ac:dyDescent="0.25">
      <c r="A195" s="1">
        <v>43496</v>
      </c>
      <c r="B195" t="s">
        <v>10</v>
      </c>
      <c r="C195" t="s">
        <v>15</v>
      </c>
      <c r="D195">
        <v>122574</v>
      </c>
      <c r="E195">
        <v>65240</v>
      </c>
      <c r="F195">
        <v>57334</v>
      </c>
      <c r="G195">
        <v>41881</v>
      </c>
      <c r="H195">
        <v>983415</v>
      </c>
      <c r="I195">
        <v>286717</v>
      </c>
      <c r="J195">
        <v>696698</v>
      </c>
    </row>
    <row r="196" spans="1:10" x14ac:dyDescent="0.25">
      <c r="A196" s="1">
        <v>43496</v>
      </c>
      <c r="B196" t="s">
        <v>10</v>
      </c>
      <c r="C196" t="s">
        <v>16</v>
      </c>
      <c r="D196">
        <v>119262</v>
      </c>
      <c r="E196">
        <v>112796</v>
      </c>
      <c r="F196">
        <v>6466</v>
      </c>
      <c r="G196">
        <v>-2966</v>
      </c>
      <c r="H196">
        <v>295257</v>
      </c>
      <c r="I196">
        <v>688579</v>
      </c>
      <c r="J196">
        <v>-393322</v>
      </c>
    </row>
    <row r="197" spans="1:10" x14ac:dyDescent="0.25">
      <c r="A197" s="1">
        <v>43496</v>
      </c>
      <c r="B197" t="s">
        <v>10</v>
      </c>
      <c r="C197" t="s">
        <v>17</v>
      </c>
      <c r="D197">
        <v>179104</v>
      </c>
      <c r="E197">
        <v>119399</v>
      </c>
      <c r="F197">
        <v>59705</v>
      </c>
      <c r="G197">
        <v>41793</v>
      </c>
      <c r="H197">
        <v>672930</v>
      </c>
      <c r="I197">
        <v>618862</v>
      </c>
      <c r="J197">
        <v>54068</v>
      </c>
    </row>
    <row r="198" spans="1:10" x14ac:dyDescent="0.25">
      <c r="A198" s="1">
        <v>43496</v>
      </c>
      <c r="B198" t="s">
        <v>11</v>
      </c>
      <c r="C198" t="s">
        <v>14</v>
      </c>
      <c r="D198">
        <v>100302</v>
      </c>
      <c r="E198">
        <v>142558</v>
      </c>
      <c r="F198">
        <v>-42256</v>
      </c>
      <c r="G198">
        <v>-47311</v>
      </c>
      <c r="H198">
        <v>835605</v>
      </c>
      <c r="I198">
        <v>239789</v>
      </c>
      <c r="J198">
        <v>595816</v>
      </c>
    </row>
    <row r="199" spans="1:10" x14ac:dyDescent="0.25">
      <c r="A199" s="1">
        <v>43496</v>
      </c>
      <c r="B199" t="s">
        <v>11</v>
      </c>
      <c r="C199" t="s">
        <v>15</v>
      </c>
      <c r="D199">
        <v>128699</v>
      </c>
      <c r="E199">
        <v>133686</v>
      </c>
      <c r="F199">
        <v>-4987</v>
      </c>
      <c r="G199">
        <v>-12112</v>
      </c>
      <c r="H199">
        <v>768535</v>
      </c>
      <c r="I199">
        <v>345121</v>
      </c>
      <c r="J199">
        <v>423414</v>
      </c>
    </row>
    <row r="200" spans="1:10" x14ac:dyDescent="0.25">
      <c r="A200" s="1">
        <v>43496</v>
      </c>
      <c r="B200" t="s">
        <v>11</v>
      </c>
      <c r="C200" t="s">
        <v>16</v>
      </c>
      <c r="D200">
        <v>116748</v>
      </c>
      <c r="E200">
        <v>64621</v>
      </c>
      <c r="F200">
        <v>52127</v>
      </c>
      <c r="G200">
        <v>33504</v>
      </c>
      <c r="H200">
        <v>458930</v>
      </c>
      <c r="I200">
        <v>760482</v>
      </c>
      <c r="J200">
        <v>-301552</v>
      </c>
    </row>
    <row r="201" spans="1:10" x14ac:dyDescent="0.25">
      <c r="A201" s="1">
        <v>43496</v>
      </c>
      <c r="B201" t="s">
        <v>11</v>
      </c>
      <c r="C201" t="s">
        <v>17</v>
      </c>
      <c r="D201">
        <v>118030</v>
      </c>
      <c r="E201">
        <v>142838</v>
      </c>
      <c r="F201">
        <v>-24808</v>
      </c>
      <c r="G201">
        <v>-32605</v>
      </c>
      <c r="H201">
        <v>648874</v>
      </c>
      <c r="I201">
        <v>662926</v>
      </c>
      <c r="J201">
        <v>-14052</v>
      </c>
    </row>
    <row r="202" spans="1:10" x14ac:dyDescent="0.25">
      <c r="A202" s="1">
        <v>43496</v>
      </c>
      <c r="B202" t="s">
        <v>12</v>
      </c>
      <c r="C202" t="s">
        <v>14</v>
      </c>
      <c r="D202">
        <v>167067</v>
      </c>
      <c r="E202">
        <v>148869</v>
      </c>
      <c r="F202">
        <v>18198</v>
      </c>
      <c r="G202">
        <v>6316</v>
      </c>
      <c r="H202">
        <v>366926</v>
      </c>
      <c r="I202">
        <v>670559</v>
      </c>
      <c r="J202">
        <v>-303633</v>
      </c>
    </row>
    <row r="203" spans="1:10" x14ac:dyDescent="0.25">
      <c r="A203" s="1">
        <v>43496</v>
      </c>
      <c r="B203" t="s">
        <v>12</v>
      </c>
      <c r="C203" t="s">
        <v>15</v>
      </c>
      <c r="D203">
        <v>173688</v>
      </c>
      <c r="E203">
        <v>98518</v>
      </c>
      <c r="F203">
        <v>75170</v>
      </c>
      <c r="G203">
        <v>57398</v>
      </c>
      <c r="H203">
        <v>865627</v>
      </c>
      <c r="I203">
        <v>321897</v>
      </c>
      <c r="J203">
        <v>543730</v>
      </c>
    </row>
    <row r="204" spans="1:10" x14ac:dyDescent="0.25">
      <c r="A204" s="1">
        <v>43496</v>
      </c>
      <c r="B204" t="s">
        <v>12</v>
      </c>
      <c r="C204" t="s">
        <v>16</v>
      </c>
      <c r="D204">
        <v>101062</v>
      </c>
      <c r="E204">
        <v>110448</v>
      </c>
      <c r="F204">
        <v>-9386</v>
      </c>
      <c r="G204">
        <v>-27928</v>
      </c>
      <c r="H204">
        <v>599445</v>
      </c>
      <c r="I204">
        <v>550009</v>
      </c>
      <c r="J204">
        <v>49436</v>
      </c>
    </row>
    <row r="205" spans="1:10" x14ac:dyDescent="0.25">
      <c r="A205" s="1">
        <v>43496</v>
      </c>
      <c r="B205" t="s">
        <v>12</v>
      </c>
      <c r="C205" t="s">
        <v>17</v>
      </c>
      <c r="D205">
        <v>147915</v>
      </c>
      <c r="E205">
        <v>64632</v>
      </c>
      <c r="F205">
        <v>83283</v>
      </c>
      <c r="G205">
        <v>71995</v>
      </c>
      <c r="H205">
        <v>858956</v>
      </c>
      <c r="I205">
        <v>471923</v>
      </c>
      <c r="J205">
        <v>387033</v>
      </c>
    </row>
    <row r="206" spans="1:10" x14ac:dyDescent="0.25">
      <c r="A206" s="1">
        <v>43496</v>
      </c>
      <c r="B206" t="s">
        <v>13</v>
      </c>
      <c r="C206" t="s">
        <v>14</v>
      </c>
      <c r="D206">
        <v>106168</v>
      </c>
      <c r="E206">
        <v>67561</v>
      </c>
      <c r="F206">
        <v>38607</v>
      </c>
      <c r="G206">
        <v>25349</v>
      </c>
      <c r="H206">
        <v>806440</v>
      </c>
      <c r="I206">
        <v>749324</v>
      </c>
      <c r="J206">
        <v>57116</v>
      </c>
    </row>
    <row r="207" spans="1:10" x14ac:dyDescent="0.25">
      <c r="A207" s="1">
        <v>43496</v>
      </c>
      <c r="B207" t="s">
        <v>13</v>
      </c>
      <c r="C207" t="s">
        <v>15</v>
      </c>
      <c r="D207">
        <v>126734</v>
      </c>
      <c r="E207">
        <v>66371</v>
      </c>
      <c r="F207">
        <v>60363</v>
      </c>
      <c r="G207">
        <v>51157</v>
      </c>
      <c r="H207">
        <v>226069</v>
      </c>
      <c r="I207">
        <v>637198</v>
      </c>
      <c r="J207">
        <v>-411129</v>
      </c>
    </row>
    <row r="208" spans="1:10" x14ac:dyDescent="0.25">
      <c r="A208" s="1">
        <v>43496</v>
      </c>
      <c r="B208" t="s">
        <v>13</v>
      </c>
      <c r="C208" t="s">
        <v>16</v>
      </c>
      <c r="D208">
        <v>173479</v>
      </c>
      <c r="E208">
        <v>137735</v>
      </c>
      <c r="F208">
        <v>35744</v>
      </c>
      <c r="G208">
        <v>23853</v>
      </c>
      <c r="H208">
        <v>796562</v>
      </c>
      <c r="I208">
        <v>574665</v>
      </c>
      <c r="J208">
        <v>221897</v>
      </c>
    </row>
    <row r="209" spans="1:10" x14ac:dyDescent="0.25">
      <c r="A209" s="1">
        <v>43496</v>
      </c>
      <c r="B209" t="s">
        <v>13</v>
      </c>
      <c r="C209" t="s">
        <v>17</v>
      </c>
      <c r="D209">
        <v>160004</v>
      </c>
      <c r="E209">
        <v>122981</v>
      </c>
      <c r="F209">
        <v>37023</v>
      </c>
      <c r="G209">
        <v>29284</v>
      </c>
      <c r="H209">
        <v>909913</v>
      </c>
      <c r="I209">
        <v>672735</v>
      </c>
      <c r="J209">
        <v>237178</v>
      </c>
    </row>
    <row r="210" spans="1:10" x14ac:dyDescent="0.25">
      <c r="A210" s="1">
        <v>43524</v>
      </c>
      <c r="B210" t="s">
        <v>10</v>
      </c>
      <c r="C210" t="s">
        <v>14</v>
      </c>
      <c r="D210">
        <v>134529</v>
      </c>
      <c r="E210">
        <v>135703</v>
      </c>
      <c r="F210">
        <v>-1174</v>
      </c>
      <c r="G210">
        <v>-16728</v>
      </c>
      <c r="H210">
        <v>312581</v>
      </c>
      <c r="I210">
        <v>365956</v>
      </c>
      <c r="J210">
        <v>-53375</v>
      </c>
    </row>
    <row r="211" spans="1:10" x14ac:dyDescent="0.25">
      <c r="A211" s="1">
        <v>43524</v>
      </c>
      <c r="B211" t="s">
        <v>10</v>
      </c>
      <c r="C211" t="s">
        <v>15</v>
      </c>
      <c r="D211">
        <v>128024</v>
      </c>
      <c r="E211">
        <v>118656</v>
      </c>
      <c r="F211">
        <v>9368</v>
      </c>
      <c r="G211">
        <v>2908</v>
      </c>
      <c r="H211">
        <v>316421</v>
      </c>
      <c r="I211">
        <v>625893</v>
      </c>
      <c r="J211">
        <v>-309472</v>
      </c>
    </row>
    <row r="212" spans="1:10" x14ac:dyDescent="0.25">
      <c r="A212" s="1">
        <v>43524</v>
      </c>
      <c r="B212" t="s">
        <v>10</v>
      </c>
      <c r="C212" t="s">
        <v>16</v>
      </c>
      <c r="D212">
        <v>171158</v>
      </c>
      <c r="E212">
        <v>132303</v>
      </c>
      <c r="F212">
        <v>38855</v>
      </c>
      <c r="G212">
        <v>23100</v>
      </c>
      <c r="H212">
        <v>387210</v>
      </c>
      <c r="I212">
        <v>244990</v>
      </c>
      <c r="J212">
        <v>142220</v>
      </c>
    </row>
    <row r="213" spans="1:10" x14ac:dyDescent="0.25">
      <c r="A213" s="1">
        <v>43524</v>
      </c>
      <c r="B213" t="s">
        <v>10</v>
      </c>
      <c r="C213" t="s">
        <v>17</v>
      </c>
      <c r="D213">
        <v>185655</v>
      </c>
      <c r="E213">
        <v>87446</v>
      </c>
      <c r="F213">
        <v>98209</v>
      </c>
      <c r="G213">
        <v>83857</v>
      </c>
      <c r="H213">
        <v>868406</v>
      </c>
      <c r="I213">
        <v>623138</v>
      </c>
      <c r="J213">
        <v>245268</v>
      </c>
    </row>
    <row r="214" spans="1:10" x14ac:dyDescent="0.25">
      <c r="A214" s="1">
        <v>43524</v>
      </c>
      <c r="B214" t="s">
        <v>11</v>
      </c>
      <c r="C214" t="s">
        <v>14</v>
      </c>
      <c r="D214">
        <v>124818</v>
      </c>
      <c r="E214">
        <v>64324</v>
      </c>
      <c r="F214">
        <v>60494</v>
      </c>
      <c r="G214">
        <v>44707</v>
      </c>
      <c r="H214">
        <v>995543</v>
      </c>
      <c r="I214">
        <v>640677</v>
      </c>
      <c r="J214">
        <v>354866</v>
      </c>
    </row>
    <row r="215" spans="1:10" x14ac:dyDescent="0.25">
      <c r="A215" s="1">
        <v>43524</v>
      </c>
      <c r="B215" t="s">
        <v>11</v>
      </c>
      <c r="C215" t="s">
        <v>15</v>
      </c>
      <c r="D215">
        <v>141427</v>
      </c>
      <c r="E215">
        <v>139579</v>
      </c>
      <c r="F215">
        <v>1848</v>
      </c>
      <c r="G215">
        <v>-15514</v>
      </c>
      <c r="H215">
        <v>322883</v>
      </c>
      <c r="I215">
        <v>487952</v>
      </c>
      <c r="J215">
        <v>-165069</v>
      </c>
    </row>
    <row r="216" spans="1:10" x14ac:dyDescent="0.25">
      <c r="A216" s="1">
        <v>43524</v>
      </c>
      <c r="B216" t="s">
        <v>11</v>
      </c>
      <c r="C216" t="s">
        <v>16</v>
      </c>
      <c r="D216">
        <v>184471</v>
      </c>
      <c r="E216">
        <v>73234</v>
      </c>
      <c r="F216">
        <v>111237</v>
      </c>
      <c r="G216">
        <v>91328</v>
      </c>
      <c r="H216">
        <v>959224</v>
      </c>
      <c r="I216">
        <v>625134</v>
      </c>
      <c r="J216">
        <v>334090</v>
      </c>
    </row>
    <row r="217" spans="1:10" x14ac:dyDescent="0.25">
      <c r="A217" s="1">
        <v>43524</v>
      </c>
      <c r="B217" t="s">
        <v>11</v>
      </c>
      <c r="C217" t="s">
        <v>17</v>
      </c>
      <c r="D217">
        <v>110954</v>
      </c>
      <c r="E217">
        <v>139239</v>
      </c>
      <c r="F217">
        <v>-28285</v>
      </c>
      <c r="G217">
        <v>-47031</v>
      </c>
      <c r="H217">
        <v>337541</v>
      </c>
      <c r="I217">
        <v>164323</v>
      </c>
      <c r="J217">
        <v>173218</v>
      </c>
    </row>
    <row r="218" spans="1:10" x14ac:dyDescent="0.25">
      <c r="A218" s="1">
        <v>43524</v>
      </c>
      <c r="B218" t="s">
        <v>12</v>
      </c>
      <c r="C218" t="s">
        <v>14</v>
      </c>
      <c r="D218">
        <v>191922</v>
      </c>
      <c r="E218">
        <v>118067</v>
      </c>
      <c r="F218">
        <v>73855</v>
      </c>
      <c r="G218">
        <v>68631</v>
      </c>
      <c r="H218">
        <v>900947</v>
      </c>
      <c r="I218">
        <v>335659</v>
      </c>
      <c r="J218">
        <v>565288</v>
      </c>
    </row>
    <row r="219" spans="1:10" x14ac:dyDescent="0.25">
      <c r="A219" s="1">
        <v>43524</v>
      </c>
      <c r="B219" t="s">
        <v>12</v>
      </c>
      <c r="C219" t="s">
        <v>15</v>
      </c>
      <c r="D219">
        <v>167584</v>
      </c>
      <c r="E219">
        <v>138477</v>
      </c>
      <c r="F219">
        <v>29107</v>
      </c>
      <c r="G219">
        <v>11500</v>
      </c>
      <c r="H219">
        <v>766821</v>
      </c>
      <c r="I219">
        <v>101917</v>
      </c>
      <c r="J219">
        <v>664904</v>
      </c>
    </row>
    <row r="220" spans="1:10" x14ac:dyDescent="0.25">
      <c r="A220" s="1">
        <v>43524</v>
      </c>
      <c r="B220" t="s">
        <v>12</v>
      </c>
      <c r="C220" t="s">
        <v>16</v>
      </c>
      <c r="D220">
        <v>120618</v>
      </c>
      <c r="E220">
        <v>92254</v>
      </c>
      <c r="F220">
        <v>28364</v>
      </c>
      <c r="G220">
        <v>16376</v>
      </c>
      <c r="H220">
        <v>709930</v>
      </c>
      <c r="I220">
        <v>671650</v>
      </c>
      <c r="J220">
        <v>38280</v>
      </c>
    </row>
    <row r="221" spans="1:10" x14ac:dyDescent="0.25">
      <c r="A221" s="1">
        <v>43524</v>
      </c>
      <c r="B221" t="s">
        <v>12</v>
      </c>
      <c r="C221" t="s">
        <v>17</v>
      </c>
      <c r="D221">
        <v>120128</v>
      </c>
      <c r="E221">
        <v>119383</v>
      </c>
      <c r="F221">
        <v>745</v>
      </c>
      <c r="G221">
        <v>-4264</v>
      </c>
      <c r="H221">
        <v>282180</v>
      </c>
      <c r="I221">
        <v>712246</v>
      </c>
      <c r="J221">
        <v>-430066</v>
      </c>
    </row>
    <row r="222" spans="1:10" x14ac:dyDescent="0.25">
      <c r="A222" s="1">
        <v>43524</v>
      </c>
      <c r="B222" t="s">
        <v>13</v>
      </c>
      <c r="C222" t="s">
        <v>14</v>
      </c>
      <c r="D222">
        <v>109865</v>
      </c>
      <c r="E222">
        <v>62219</v>
      </c>
      <c r="F222">
        <v>47646</v>
      </c>
      <c r="G222">
        <v>35605</v>
      </c>
      <c r="H222">
        <v>578892</v>
      </c>
      <c r="I222">
        <v>105287</v>
      </c>
      <c r="J222">
        <v>473605</v>
      </c>
    </row>
    <row r="223" spans="1:10" x14ac:dyDescent="0.25">
      <c r="A223" s="1">
        <v>43524</v>
      </c>
      <c r="B223" t="s">
        <v>13</v>
      </c>
      <c r="C223" t="s">
        <v>15</v>
      </c>
      <c r="D223">
        <v>134387</v>
      </c>
      <c r="E223">
        <v>68512</v>
      </c>
      <c r="F223">
        <v>65875</v>
      </c>
      <c r="G223">
        <v>59533</v>
      </c>
      <c r="H223">
        <v>656292</v>
      </c>
      <c r="I223">
        <v>208872</v>
      </c>
      <c r="J223">
        <v>447420</v>
      </c>
    </row>
    <row r="224" spans="1:10" x14ac:dyDescent="0.25">
      <c r="A224" s="1">
        <v>43524</v>
      </c>
      <c r="B224" t="s">
        <v>13</v>
      </c>
      <c r="C224" t="s">
        <v>16</v>
      </c>
      <c r="D224">
        <v>119216</v>
      </c>
      <c r="E224">
        <v>153070</v>
      </c>
      <c r="F224">
        <v>-33854</v>
      </c>
      <c r="G224">
        <v>-53085</v>
      </c>
      <c r="H224">
        <v>822117</v>
      </c>
      <c r="I224">
        <v>529474</v>
      </c>
      <c r="J224">
        <v>292643</v>
      </c>
    </row>
    <row r="225" spans="1:10" x14ac:dyDescent="0.25">
      <c r="A225" s="1">
        <v>43524</v>
      </c>
      <c r="B225" t="s">
        <v>13</v>
      </c>
      <c r="C225" t="s">
        <v>17</v>
      </c>
      <c r="D225">
        <v>193789</v>
      </c>
      <c r="E225">
        <v>102078</v>
      </c>
      <c r="F225">
        <v>91711</v>
      </c>
      <c r="G225">
        <v>78727</v>
      </c>
      <c r="H225">
        <v>807812</v>
      </c>
      <c r="I225">
        <v>327645</v>
      </c>
      <c r="J225">
        <v>480167</v>
      </c>
    </row>
    <row r="226" spans="1:10" x14ac:dyDescent="0.25">
      <c r="A226" s="1">
        <v>43555</v>
      </c>
      <c r="B226" t="s">
        <v>10</v>
      </c>
      <c r="C226" t="s">
        <v>14</v>
      </c>
      <c r="D226">
        <v>112219</v>
      </c>
      <c r="E226">
        <v>60235</v>
      </c>
      <c r="F226">
        <v>51984</v>
      </c>
      <c r="G226">
        <v>36823</v>
      </c>
      <c r="H226">
        <v>327309</v>
      </c>
      <c r="I226">
        <v>429588</v>
      </c>
      <c r="J226">
        <v>-102279</v>
      </c>
    </row>
    <row r="227" spans="1:10" x14ac:dyDescent="0.25">
      <c r="A227" s="1">
        <v>43555</v>
      </c>
      <c r="B227" t="s">
        <v>10</v>
      </c>
      <c r="C227" t="s">
        <v>15</v>
      </c>
      <c r="D227">
        <v>108567</v>
      </c>
      <c r="E227">
        <v>130792</v>
      </c>
      <c r="F227">
        <v>-22225</v>
      </c>
      <c r="G227">
        <v>-29860</v>
      </c>
      <c r="H227">
        <v>535842</v>
      </c>
      <c r="I227">
        <v>486594</v>
      </c>
      <c r="J227">
        <v>49248</v>
      </c>
    </row>
    <row r="228" spans="1:10" x14ac:dyDescent="0.25">
      <c r="A228" s="1">
        <v>43555</v>
      </c>
      <c r="B228" t="s">
        <v>10</v>
      </c>
      <c r="C228" t="s">
        <v>16</v>
      </c>
      <c r="D228">
        <v>105415</v>
      </c>
      <c r="E228">
        <v>96159</v>
      </c>
      <c r="F228">
        <v>9256</v>
      </c>
      <c r="G228">
        <v>-6901</v>
      </c>
      <c r="H228">
        <v>337023</v>
      </c>
      <c r="I228">
        <v>187388</v>
      </c>
      <c r="J228">
        <v>149635</v>
      </c>
    </row>
    <row r="229" spans="1:10" x14ac:dyDescent="0.25">
      <c r="A229" s="1">
        <v>43555</v>
      </c>
      <c r="B229" t="s">
        <v>10</v>
      </c>
      <c r="C229" t="s">
        <v>17</v>
      </c>
      <c r="D229">
        <v>108007</v>
      </c>
      <c r="E229">
        <v>101832</v>
      </c>
      <c r="F229">
        <v>6175</v>
      </c>
      <c r="G229">
        <v>-8269</v>
      </c>
      <c r="H229">
        <v>551005</v>
      </c>
      <c r="I229">
        <v>639812</v>
      </c>
      <c r="J229">
        <v>-88807</v>
      </c>
    </row>
    <row r="230" spans="1:10" x14ac:dyDescent="0.25">
      <c r="A230" s="1">
        <v>43555</v>
      </c>
      <c r="B230" t="s">
        <v>11</v>
      </c>
      <c r="C230" t="s">
        <v>14</v>
      </c>
      <c r="D230">
        <v>119282</v>
      </c>
      <c r="E230">
        <v>83930</v>
      </c>
      <c r="F230">
        <v>35352</v>
      </c>
      <c r="G230">
        <v>30275</v>
      </c>
      <c r="H230">
        <v>699097</v>
      </c>
      <c r="I230">
        <v>749789</v>
      </c>
      <c r="J230">
        <v>-50692</v>
      </c>
    </row>
    <row r="231" spans="1:10" x14ac:dyDescent="0.25">
      <c r="A231" s="1">
        <v>43555</v>
      </c>
      <c r="B231" t="s">
        <v>11</v>
      </c>
      <c r="C231" t="s">
        <v>15</v>
      </c>
      <c r="D231">
        <v>120611</v>
      </c>
      <c r="E231">
        <v>76984</v>
      </c>
      <c r="F231">
        <v>43627</v>
      </c>
      <c r="G231">
        <v>24567</v>
      </c>
      <c r="H231">
        <v>938345</v>
      </c>
      <c r="I231">
        <v>577272</v>
      </c>
      <c r="J231">
        <v>361073</v>
      </c>
    </row>
    <row r="232" spans="1:10" x14ac:dyDescent="0.25">
      <c r="A232" s="1">
        <v>43555</v>
      </c>
      <c r="B232" t="s">
        <v>11</v>
      </c>
      <c r="C232" t="s">
        <v>16</v>
      </c>
      <c r="D232">
        <v>143303</v>
      </c>
      <c r="E232">
        <v>119207</v>
      </c>
      <c r="F232">
        <v>24096</v>
      </c>
      <c r="G232">
        <v>9586</v>
      </c>
      <c r="H232">
        <v>884647</v>
      </c>
      <c r="I232">
        <v>139711</v>
      </c>
      <c r="J232">
        <v>744936</v>
      </c>
    </row>
    <row r="233" spans="1:10" x14ac:dyDescent="0.25">
      <c r="A233" s="1">
        <v>43555</v>
      </c>
      <c r="B233" t="s">
        <v>11</v>
      </c>
      <c r="C233" t="s">
        <v>17</v>
      </c>
      <c r="D233">
        <v>111954</v>
      </c>
      <c r="E233">
        <v>133340</v>
      </c>
      <c r="F233">
        <v>-21386</v>
      </c>
      <c r="G233">
        <v>-32951</v>
      </c>
      <c r="H233">
        <v>418134</v>
      </c>
      <c r="I233">
        <v>202974</v>
      </c>
      <c r="J233">
        <v>215160</v>
      </c>
    </row>
    <row r="234" spans="1:10" x14ac:dyDescent="0.25">
      <c r="A234" s="1">
        <v>43555</v>
      </c>
      <c r="B234" t="s">
        <v>12</v>
      </c>
      <c r="C234" t="s">
        <v>14</v>
      </c>
      <c r="D234">
        <v>118574</v>
      </c>
      <c r="E234">
        <v>69184</v>
      </c>
      <c r="F234">
        <v>49390</v>
      </c>
      <c r="G234">
        <v>41678</v>
      </c>
      <c r="H234">
        <v>792016</v>
      </c>
      <c r="I234">
        <v>789376</v>
      </c>
      <c r="J234">
        <v>2640</v>
      </c>
    </row>
    <row r="235" spans="1:10" x14ac:dyDescent="0.25">
      <c r="A235" s="1">
        <v>43555</v>
      </c>
      <c r="B235" t="s">
        <v>12</v>
      </c>
      <c r="C235" t="s">
        <v>15</v>
      </c>
      <c r="D235">
        <v>111246</v>
      </c>
      <c r="E235">
        <v>105558</v>
      </c>
      <c r="F235">
        <v>5688</v>
      </c>
      <c r="G235">
        <v>-3345</v>
      </c>
      <c r="H235">
        <v>611597</v>
      </c>
      <c r="I235">
        <v>192263</v>
      </c>
      <c r="J235">
        <v>419334</v>
      </c>
    </row>
    <row r="236" spans="1:10" x14ac:dyDescent="0.25">
      <c r="A236" s="1">
        <v>43555</v>
      </c>
      <c r="B236" t="s">
        <v>12</v>
      </c>
      <c r="C236" t="s">
        <v>16</v>
      </c>
      <c r="D236">
        <v>104018</v>
      </c>
      <c r="E236">
        <v>71302</v>
      </c>
      <c r="F236">
        <v>32716</v>
      </c>
      <c r="G236">
        <v>25746</v>
      </c>
      <c r="H236">
        <v>765445</v>
      </c>
      <c r="I236">
        <v>679205</v>
      </c>
      <c r="J236">
        <v>86240</v>
      </c>
    </row>
    <row r="237" spans="1:10" x14ac:dyDescent="0.25">
      <c r="A237" s="1">
        <v>43555</v>
      </c>
      <c r="B237" t="s">
        <v>12</v>
      </c>
      <c r="C237" t="s">
        <v>17</v>
      </c>
      <c r="D237">
        <v>192738</v>
      </c>
      <c r="E237">
        <v>156646</v>
      </c>
      <c r="F237">
        <v>36092</v>
      </c>
      <c r="G237">
        <v>29890</v>
      </c>
      <c r="H237">
        <v>690025</v>
      </c>
      <c r="I237">
        <v>580703</v>
      </c>
      <c r="J237">
        <v>109322</v>
      </c>
    </row>
    <row r="238" spans="1:10" x14ac:dyDescent="0.25">
      <c r="A238" s="1">
        <v>43555</v>
      </c>
      <c r="B238" t="s">
        <v>13</v>
      </c>
      <c r="C238" t="s">
        <v>14</v>
      </c>
      <c r="D238">
        <v>156819</v>
      </c>
      <c r="E238">
        <v>140910</v>
      </c>
      <c r="F238">
        <v>15909</v>
      </c>
      <c r="G238">
        <v>5167</v>
      </c>
      <c r="H238">
        <v>467552</v>
      </c>
      <c r="I238">
        <v>159379</v>
      </c>
      <c r="J238">
        <v>308173</v>
      </c>
    </row>
    <row r="239" spans="1:10" x14ac:dyDescent="0.25">
      <c r="A239" s="1">
        <v>43555</v>
      </c>
      <c r="B239" t="s">
        <v>13</v>
      </c>
      <c r="C239" t="s">
        <v>15</v>
      </c>
      <c r="D239">
        <v>125053</v>
      </c>
      <c r="E239">
        <v>69446</v>
      </c>
      <c r="F239">
        <v>55607</v>
      </c>
      <c r="G239">
        <v>49685</v>
      </c>
      <c r="H239">
        <v>298723</v>
      </c>
      <c r="I239">
        <v>675644</v>
      </c>
      <c r="J239">
        <v>-376921</v>
      </c>
    </row>
    <row r="240" spans="1:10" x14ac:dyDescent="0.25">
      <c r="A240" s="1">
        <v>43555</v>
      </c>
      <c r="B240" t="s">
        <v>13</v>
      </c>
      <c r="C240" t="s">
        <v>16</v>
      </c>
      <c r="D240">
        <v>110789</v>
      </c>
      <c r="E240">
        <v>157720</v>
      </c>
      <c r="F240">
        <v>-46931</v>
      </c>
      <c r="G240">
        <v>-53051</v>
      </c>
      <c r="H240">
        <v>232154</v>
      </c>
      <c r="I240">
        <v>313942</v>
      </c>
      <c r="J240">
        <v>-81788</v>
      </c>
    </row>
    <row r="241" spans="1:10" x14ac:dyDescent="0.25">
      <c r="A241" s="1">
        <v>43555</v>
      </c>
      <c r="B241" t="s">
        <v>13</v>
      </c>
      <c r="C241" t="s">
        <v>17</v>
      </c>
      <c r="D241">
        <v>102336</v>
      </c>
      <c r="E241">
        <v>127779</v>
      </c>
      <c r="F241">
        <v>-25443</v>
      </c>
      <c r="G241">
        <v>-33088</v>
      </c>
      <c r="H241">
        <v>232265</v>
      </c>
      <c r="I241">
        <v>465060</v>
      </c>
      <c r="J241">
        <v>-232795</v>
      </c>
    </row>
    <row r="242" spans="1:10" x14ac:dyDescent="0.25">
      <c r="A242" s="1">
        <v>43585</v>
      </c>
      <c r="B242" t="s">
        <v>10</v>
      </c>
      <c r="C242" t="s">
        <v>14</v>
      </c>
      <c r="D242">
        <v>143872</v>
      </c>
      <c r="E242">
        <v>106197</v>
      </c>
      <c r="F242">
        <v>37675</v>
      </c>
      <c r="G242">
        <v>21630</v>
      </c>
      <c r="H242">
        <v>648396</v>
      </c>
      <c r="I242">
        <v>254782</v>
      </c>
      <c r="J242">
        <v>393614</v>
      </c>
    </row>
    <row r="243" spans="1:10" x14ac:dyDescent="0.25">
      <c r="A243" s="1">
        <v>43585</v>
      </c>
      <c r="B243" t="s">
        <v>10</v>
      </c>
      <c r="C243" t="s">
        <v>15</v>
      </c>
      <c r="D243">
        <v>129486</v>
      </c>
      <c r="E243">
        <v>131907</v>
      </c>
      <c r="F243">
        <v>-2421</v>
      </c>
      <c r="G243">
        <v>-21609</v>
      </c>
      <c r="H243">
        <v>402967</v>
      </c>
      <c r="I243">
        <v>402775</v>
      </c>
      <c r="J243">
        <v>192</v>
      </c>
    </row>
    <row r="244" spans="1:10" x14ac:dyDescent="0.25">
      <c r="A244" s="1">
        <v>43585</v>
      </c>
      <c r="B244" t="s">
        <v>10</v>
      </c>
      <c r="C244" t="s">
        <v>16</v>
      </c>
      <c r="D244">
        <v>120103</v>
      </c>
      <c r="E244">
        <v>124772</v>
      </c>
      <c r="F244">
        <v>-4669</v>
      </c>
      <c r="G244">
        <v>-21089</v>
      </c>
      <c r="H244">
        <v>214382</v>
      </c>
      <c r="I244">
        <v>184291</v>
      </c>
      <c r="J244">
        <v>30091</v>
      </c>
    </row>
    <row r="245" spans="1:10" x14ac:dyDescent="0.25">
      <c r="A245" s="1">
        <v>43585</v>
      </c>
      <c r="B245" t="s">
        <v>10</v>
      </c>
      <c r="C245" t="s">
        <v>17</v>
      </c>
      <c r="D245">
        <v>103756</v>
      </c>
      <c r="E245">
        <v>80609</v>
      </c>
      <c r="F245">
        <v>23147</v>
      </c>
      <c r="G245">
        <v>18053</v>
      </c>
      <c r="H245">
        <v>432050</v>
      </c>
      <c r="I245">
        <v>532882</v>
      </c>
      <c r="J245">
        <v>-100832</v>
      </c>
    </row>
    <row r="246" spans="1:10" x14ac:dyDescent="0.25">
      <c r="A246" s="1">
        <v>43585</v>
      </c>
      <c r="B246" t="s">
        <v>11</v>
      </c>
      <c r="C246" t="s">
        <v>14</v>
      </c>
      <c r="D246">
        <v>175683</v>
      </c>
      <c r="E246">
        <v>159097</v>
      </c>
      <c r="F246">
        <v>16586</v>
      </c>
      <c r="G246">
        <v>1560</v>
      </c>
      <c r="H246">
        <v>854618</v>
      </c>
      <c r="I246">
        <v>695603</v>
      </c>
      <c r="J246">
        <v>159015</v>
      </c>
    </row>
    <row r="247" spans="1:10" x14ac:dyDescent="0.25">
      <c r="A247" s="1">
        <v>43585</v>
      </c>
      <c r="B247" t="s">
        <v>11</v>
      </c>
      <c r="C247" t="s">
        <v>15</v>
      </c>
      <c r="D247">
        <v>177834</v>
      </c>
      <c r="E247">
        <v>74153</v>
      </c>
      <c r="F247">
        <v>103681</v>
      </c>
      <c r="G247">
        <v>87570</v>
      </c>
      <c r="H247">
        <v>800613</v>
      </c>
      <c r="I247">
        <v>340773</v>
      </c>
      <c r="J247">
        <v>459840</v>
      </c>
    </row>
    <row r="248" spans="1:10" x14ac:dyDescent="0.25">
      <c r="A248" s="1">
        <v>43585</v>
      </c>
      <c r="B248" t="s">
        <v>11</v>
      </c>
      <c r="C248" t="s">
        <v>16</v>
      </c>
      <c r="D248">
        <v>112999</v>
      </c>
      <c r="E248">
        <v>115318</v>
      </c>
      <c r="F248">
        <v>-2319</v>
      </c>
      <c r="G248">
        <v>-8133</v>
      </c>
      <c r="H248">
        <v>577177</v>
      </c>
      <c r="I248">
        <v>176077</v>
      </c>
      <c r="J248">
        <v>401100</v>
      </c>
    </row>
    <row r="249" spans="1:10" x14ac:dyDescent="0.25">
      <c r="A249" s="1">
        <v>43585</v>
      </c>
      <c r="B249" t="s">
        <v>11</v>
      </c>
      <c r="C249" t="s">
        <v>17</v>
      </c>
      <c r="D249">
        <v>190474</v>
      </c>
      <c r="E249">
        <v>62443</v>
      </c>
      <c r="F249">
        <v>128031</v>
      </c>
      <c r="G249">
        <v>112574</v>
      </c>
      <c r="H249">
        <v>406988</v>
      </c>
      <c r="I249">
        <v>225885</v>
      </c>
      <c r="J249">
        <v>181103</v>
      </c>
    </row>
    <row r="250" spans="1:10" x14ac:dyDescent="0.25">
      <c r="A250" s="1">
        <v>43585</v>
      </c>
      <c r="B250" t="s">
        <v>12</v>
      </c>
      <c r="C250" t="s">
        <v>14</v>
      </c>
      <c r="D250">
        <v>117368</v>
      </c>
      <c r="E250">
        <v>75328</v>
      </c>
      <c r="F250">
        <v>42040</v>
      </c>
      <c r="G250">
        <v>29250</v>
      </c>
      <c r="H250">
        <v>291751</v>
      </c>
      <c r="I250">
        <v>330203</v>
      </c>
      <c r="J250">
        <v>-38452</v>
      </c>
    </row>
    <row r="251" spans="1:10" x14ac:dyDescent="0.25">
      <c r="A251" s="1">
        <v>43585</v>
      </c>
      <c r="B251" t="s">
        <v>12</v>
      </c>
      <c r="C251" t="s">
        <v>15</v>
      </c>
      <c r="D251">
        <v>127306</v>
      </c>
      <c r="E251">
        <v>145451</v>
      </c>
      <c r="F251">
        <v>-18145</v>
      </c>
      <c r="G251">
        <v>-30292</v>
      </c>
      <c r="H251">
        <v>411951</v>
      </c>
      <c r="I251">
        <v>605155</v>
      </c>
      <c r="J251">
        <v>-193204</v>
      </c>
    </row>
    <row r="252" spans="1:10" x14ac:dyDescent="0.25">
      <c r="A252" s="1">
        <v>43585</v>
      </c>
      <c r="B252" t="s">
        <v>12</v>
      </c>
      <c r="C252" t="s">
        <v>16</v>
      </c>
      <c r="D252">
        <v>164644</v>
      </c>
      <c r="E252">
        <v>120279</v>
      </c>
      <c r="F252">
        <v>44365</v>
      </c>
      <c r="G252">
        <v>35489</v>
      </c>
      <c r="H252">
        <v>200126</v>
      </c>
      <c r="I252">
        <v>127632</v>
      </c>
      <c r="J252">
        <v>72494</v>
      </c>
    </row>
    <row r="253" spans="1:10" x14ac:dyDescent="0.25">
      <c r="A253" s="1">
        <v>43585</v>
      </c>
      <c r="B253" t="s">
        <v>12</v>
      </c>
      <c r="C253" t="s">
        <v>17</v>
      </c>
      <c r="D253">
        <v>165310</v>
      </c>
      <c r="E253">
        <v>115176</v>
      </c>
      <c r="F253">
        <v>50134</v>
      </c>
      <c r="G253">
        <v>40025</v>
      </c>
      <c r="H253">
        <v>941426</v>
      </c>
      <c r="I253">
        <v>598716</v>
      </c>
      <c r="J253">
        <v>342710</v>
      </c>
    </row>
    <row r="254" spans="1:10" x14ac:dyDescent="0.25">
      <c r="A254" s="1">
        <v>43585</v>
      </c>
      <c r="B254" t="s">
        <v>13</v>
      </c>
      <c r="C254" t="s">
        <v>14</v>
      </c>
      <c r="D254">
        <v>144327</v>
      </c>
      <c r="E254">
        <v>128904</v>
      </c>
      <c r="F254">
        <v>15423</v>
      </c>
      <c r="G254">
        <v>6626</v>
      </c>
      <c r="H254">
        <v>378954</v>
      </c>
      <c r="I254">
        <v>769078</v>
      </c>
      <c r="J254">
        <v>-390124</v>
      </c>
    </row>
    <row r="255" spans="1:10" x14ac:dyDescent="0.25">
      <c r="A255" s="1">
        <v>43585</v>
      </c>
      <c r="B255" t="s">
        <v>13</v>
      </c>
      <c r="C255" t="s">
        <v>15</v>
      </c>
      <c r="D255">
        <v>134560</v>
      </c>
      <c r="E255">
        <v>136589</v>
      </c>
      <c r="F255">
        <v>-2029</v>
      </c>
      <c r="G255">
        <v>-12761</v>
      </c>
      <c r="H255">
        <v>332717</v>
      </c>
      <c r="I255">
        <v>278595</v>
      </c>
      <c r="J255">
        <v>54122</v>
      </c>
    </row>
    <row r="256" spans="1:10" x14ac:dyDescent="0.25">
      <c r="A256" s="1">
        <v>43585</v>
      </c>
      <c r="B256" t="s">
        <v>13</v>
      </c>
      <c r="C256" t="s">
        <v>16</v>
      </c>
      <c r="D256">
        <v>119256</v>
      </c>
      <c r="E256">
        <v>113173</v>
      </c>
      <c r="F256">
        <v>6083</v>
      </c>
      <c r="G256">
        <v>-3579</v>
      </c>
      <c r="H256">
        <v>632498</v>
      </c>
      <c r="I256">
        <v>430388</v>
      </c>
      <c r="J256">
        <v>202110</v>
      </c>
    </row>
    <row r="257" spans="1:10" x14ac:dyDescent="0.25">
      <c r="A257" s="1">
        <v>43585</v>
      </c>
      <c r="B257" t="s">
        <v>13</v>
      </c>
      <c r="C257" t="s">
        <v>17</v>
      </c>
      <c r="D257">
        <v>111694</v>
      </c>
      <c r="E257">
        <v>116264</v>
      </c>
      <c r="F257">
        <v>-4570</v>
      </c>
      <c r="G257">
        <v>-19094</v>
      </c>
      <c r="H257">
        <v>257545</v>
      </c>
      <c r="I257">
        <v>611411</v>
      </c>
      <c r="J257">
        <v>-353866</v>
      </c>
    </row>
    <row r="258" spans="1:10" x14ac:dyDescent="0.25">
      <c r="A258" s="1">
        <v>43616</v>
      </c>
      <c r="B258" t="s">
        <v>10</v>
      </c>
      <c r="C258" t="s">
        <v>14</v>
      </c>
      <c r="D258">
        <v>139224</v>
      </c>
      <c r="E258">
        <v>157945</v>
      </c>
      <c r="F258">
        <v>-18721</v>
      </c>
      <c r="G258">
        <v>-36945</v>
      </c>
      <c r="H258">
        <v>240738</v>
      </c>
      <c r="I258">
        <v>280760</v>
      </c>
      <c r="J258">
        <v>-40022</v>
      </c>
    </row>
    <row r="259" spans="1:10" x14ac:dyDescent="0.25">
      <c r="A259" s="1">
        <v>43616</v>
      </c>
      <c r="B259" t="s">
        <v>10</v>
      </c>
      <c r="C259" t="s">
        <v>15</v>
      </c>
      <c r="D259">
        <v>199929</v>
      </c>
      <c r="E259">
        <v>133509</v>
      </c>
      <c r="F259">
        <v>66420</v>
      </c>
      <c r="G259">
        <v>52843</v>
      </c>
      <c r="H259">
        <v>732358</v>
      </c>
      <c r="I259">
        <v>226161</v>
      </c>
      <c r="J259">
        <v>506197</v>
      </c>
    </row>
    <row r="260" spans="1:10" x14ac:dyDescent="0.25">
      <c r="A260" s="1">
        <v>43616</v>
      </c>
      <c r="B260" t="s">
        <v>10</v>
      </c>
      <c r="C260" t="s">
        <v>16</v>
      </c>
      <c r="D260">
        <v>108666</v>
      </c>
      <c r="E260">
        <v>117761</v>
      </c>
      <c r="F260">
        <v>-9095</v>
      </c>
      <c r="G260">
        <v>-20585</v>
      </c>
      <c r="H260">
        <v>498512</v>
      </c>
      <c r="I260">
        <v>762143</v>
      </c>
      <c r="J260">
        <v>-263631</v>
      </c>
    </row>
    <row r="261" spans="1:10" x14ac:dyDescent="0.25">
      <c r="A261" s="1">
        <v>43616</v>
      </c>
      <c r="B261" t="s">
        <v>10</v>
      </c>
      <c r="C261" t="s">
        <v>17</v>
      </c>
      <c r="D261">
        <v>141914</v>
      </c>
      <c r="E261">
        <v>130507</v>
      </c>
      <c r="F261">
        <v>11407</v>
      </c>
      <c r="G261">
        <v>-6643</v>
      </c>
      <c r="H261">
        <v>971253</v>
      </c>
      <c r="I261">
        <v>604471</v>
      </c>
      <c r="J261">
        <v>366782</v>
      </c>
    </row>
    <row r="262" spans="1:10" x14ac:dyDescent="0.25">
      <c r="A262" s="1">
        <v>43616</v>
      </c>
      <c r="B262" t="s">
        <v>11</v>
      </c>
      <c r="C262" t="s">
        <v>14</v>
      </c>
      <c r="D262">
        <v>167526</v>
      </c>
      <c r="E262">
        <v>130835</v>
      </c>
      <c r="F262">
        <v>36691</v>
      </c>
      <c r="G262">
        <v>18694</v>
      </c>
      <c r="H262">
        <v>418967</v>
      </c>
      <c r="I262">
        <v>483152</v>
      </c>
      <c r="J262">
        <v>-64185</v>
      </c>
    </row>
    <row r="263" spans="1:10" x14ac:dyDescent="0.25">
      <c r="A263" s="1">
        <v>43616</v>
      </c>
      <c r="B263" t="s">
        <v>11</v>
      </c>
      <c r="C263" t="s">
        <v>15</v>
      </c>
      <c r="D263">
        <v>137148</v>
      </c>
      <c r="E263">
        <v>154270</v>
      </c>
      <c r="F263">
        <v>-17122</v>
      </c>
      <c r="G263">
        <v>-35412</v>
      </c>
      <c r="H263">
        <v>991189</v>
      </c>
      <c r="I263">
        <v>643385</v>
      </c>
      <c r="J263">
        <v>347804</v>
      </c>
    </row>
    <row r="264" spans="1:10" x14ac:dyDescent="0.25">
      <c r="A264" s="1">
        <v>43616</v>
      </c>
      <c r="B264" t="s">
        <v>11</v>
      </c>
      <c r="C264" t="s">
        <v>16</v>
      </c>
      <c r="D264">
        <v>110395</v>
      </c>
      <c r="E264">
        <v>76241</v>
      </c>
      <c r="F264">
        <v>34154</v>
      </c>
      <c r="G264">
        <v>23566</v>
      </c>
      <c r="H264">
        <v>358768</v>
      </c>
      <c r="I264">
        <v>346726</v>
      </c>
      <c r="J264">
        <v>12042</v>
      </c>
    </row>
    <row r="265" spans="1:10" x14ac:dyDescent="0.25">
      <c r="A265" s="1">
        <v>43616</v>
      </c>
      <c r="B265" t="s">
        <v>11</v>
      </c>
      <c r="C265" t="s">
        <v>17</v>
      </c>
      <c r="D265">
        <v>170480</v>
      </c>
      <c r="E265">
        <v>106163</v>
      </c>
      <c r="F265">
        <v>64317</v>
      </c>
      <c r="G265">
        <v>55885</v>
      </c>
      <c r="H265">
        <v>957907</v>
      </c>
      <c r="I265">
        <v>414997</v>
      </c>
      <c r="J265">
        <v>542910</v>
      </c>
    </row>
    <row r="266" spans="1:10" x14ac:dyDescent="0.25">
      <c r="A266" s="1">
        <v>43616</v>
      </c>
      <c r="B266" t="s">
        <v>12</v>
      </c>
      <c r="C266" t="s">
        <v>14</v>
      </c>
      <c r="D266">
        <v>124917</v>
      </c>
      <c r="E266">
        <v>156731</v>
      </c>
      <c r="F266">
        <v>-31814</v>
      </c>
      <c r="G266">
        <v>-41996</v>
      </c>
      <c r="H266">
        <v>406524</v>
      </c>
      <c r="I266">
        <v>687111</v>
      </c>
      <c r="J266">
        <v>-280587</v>
      </c>
    </row>
    <row r="267" spans="1:10" x14ac:dyDescent="0.25">
      <c r="A267" s="1">
        <v>43616</v>
      </c>
      <c r="B267" t="s">
        <v>12</v>
      </c>
      <c r="C267" t="s">
        <v>15</v>
      </c>
      <c r="D267">
        <v>120806</v>
      </c>
      <c r="E267">
        <v>135520</v>
      </c>
      <c r="F267">
        <v>-14714</v>
      </c>
      <c r="G267">
        <v>-21473</v>
      </c>
      <c r="H267">
        <v>981452</v>
      </c>
      <c r="I267">
        <v>535165</v>
      </c>
      <c r="J267">
        <v>446287</v>
      </c>
    </row>
    <row r="268" spans="1:10" x14ac:dyDescent="0.25">
      <c r="A268" s="1">
        <v>43616</v>
      </c>
      <c r="B268" t="s">
        <v>12</v>
      </c>
      <c r="C268" t="s">
        <v>16</v>
      </c>
      <c r="D268">
        <v>192374</v>
      </c>
      <c r="E268">
        <v>62482</v>
      </c>
      <c r="F268">
        <v>129892</v>
      </c>
      <c r="G268">
        <v>116834</v>
      </c>
      <c r="H268">
        <v>651282</v>
      </c>
      <c r="I268">
        <v>193501</v>
      </c>
      <c r="J268">
        <v>457781</v>
      </c>
    </row>
    <row r="269" spans="1:10" x14ac:dyDescent="0.25">
      <c r="A269" s="1">
        <v>43616</v>
      </c>
      <c r="B269" t="s">
        <v>12</v>
      </c>
      <c r="C269" t="s">
        <v>17</v>
      </c>
      <c r="D269">
        <v>102079</v>
      </c>
      <c r="E269">
        <v>62717</v>
      </c>
      <c r="F269">
        <v>39362</v>
      </c>
      <c r="G269">
        <v>23838</v>
      </c>
      <c r="H269">
        <v>941804</v>
      </c>
      <c r="I269">
        <v>273532</v>
      </c>
      <c r="J269">
        <v>668272</v>
      </c>
    </row>
    <row r="270" spans="1:10" x14ac:dyDescent="0.25">
      <c r="A270" s="1">
        <v>43616</v>
      </c>
      <c r="B270" t="s">
        <v>13</v>
      </c>
      <c r="C270" t="s">
        <v>14</v>
      </c>
      <c r="D270">
        <v>190397</v>
      </c>
      <c r="E270">
        <v>132847</v>
      </c>
      <c r="F270">
        <v>57550</v>
      </c>
      <c r="G270">
        <v>40863</v>
      </c>
      <c r="H270">
        <v>420178</v>
      </c>
      <c r="I270">
        <v>249521</v>
      </c>
      <c r="J270">
        <v>170657</v>
      </c>
    </row>
    <row r="271" spans="1:10" x14ac:dyDescent="0.25">
      <c r="A271" s="1">
        <v>43616</v>
      </c>
      <c r="B271" t="s">
        <v>13</v>
      </c>
      <c r="C271" t="s">
        <v>15</v>
      </c>
      <c r="D271">
        <v>133536</v>
      </c>
      <c r="E271">
        <v>124077</v>
      </c>
      <c r="F271">
        <v>9459</v>
      </c>
      <c r="G271">
        <v>-1031</v>
      </c>
      <c r="H271">
        <v>903662</v>
      </c>
      <c r="I271">
        <v>357009</v>
      </c>
      <c r="J271">
        <v>546653</v>
      </c>
    </row>
    <row r="272" spans="1:10" x14ac:dyDescent="0.25">
      <c r="A272" s="1">
        <v>43616</v>
      </c>
      <c r="B272" t="s">
        <v>13</v>
      </c>
      <c r="C272" t="s">
        <v>16</v>
      </c>
      <c r="D272">
        <v>128865</v>
      </c>
      <c r="E272">
        <v>66645</v>
      </c>
      <c r="F272">
        <v>62220</v>
      </c>
      <c r="G272">
        <v>52137</v>
      </c>
      <c r="H272">
        <v>762288</v>
      </c>
      <c r="I272">
        <v>651025</v>
      </c>
      <c r="J272">
        <v>111263</v>
      </c>
    </row>
    <row r="273" spans="1:10" x14ac:dyDescent="0.25">
      <c r="A273" s="1">
        <v>43616</v>
      </c>
      <c r="B273" t="s">
        <v>13</v>
      </c>
      <c r="C273" t="s">
        <v>17</v>
      </c>
      <c r="D273">
        <v>111485</v>
      </c>
      <c r="E273">
        <v>98565</v>
      </c>
      <c r="F273">
        <v>12920</v>
      </c>
      <c r="G273">
        <v>-1218</v>
      </c>
      <c r="H273">
        <v>386240</v>
      </c>
      <c r="I273">
        <v>676775</v>
      </c>
      <c r="J273">
        <v>-290535</v>
      </c>
    </row>
    <row r="274" spans="1:10" x14ac:dyDescent="0.25">
      <c r="A274" s="1">
        <v>43646</v>
      </c>
      <c r="B274" t="s">
        <v>10</v>
      </c>
      <c r="C274" t="s">
        <v>14</v>
      </c>
      <c r="D274">
        <v>112342</v>
      </c>
      <c r="E274">
        <v>100806</v>
      </c>
      <c r="F274">
        <v>11536</v>
      </c>
      <c r="G274">
        <v>-6551</v>
      </c>
      <c r="H274">
        <v>565321</v>
      </c>
      <c r="I274">
        <v>283675</v>
      </c>
      <c r="J274">
        <v>281646</v>
      </c>
    </row>
    <row r="275" spans="1:10" x14ac:dyDescent="0.25">
      <c r="A275" s="1">
        <v>43646</v>
      </c>
      <c r="B275" t="s">
        <v>10</v>
      </c>
      <c r="C275" t="s">
        <v>15</v>
      </c>
      <c r="D275">
        <v>181974</v>
      </c>
      <c r="E275">
        <v>86399</v>
      </c>
      <c r="F275">
        <v>95575</v>
      </c>
      <c r="G275">
        <v>77086</v>
      </c>
      <c r="H275">
        <v>416454</v>
      </c>
      <c r="I275">
        <v>209575</v>
      </c>
      <c r="J275">
        <v>206879</v>
      </c>
    </row>
    <row r="276" spans="1:10" x14ac:dyDescent="0.25">
      <c r="A276" s="1">
        <v>43646</v>
      </c>
      <c r="B276" t="s">
        <v>10</v>
      </c>
      <c r="C276" t="s">
        <v>16</v>
      </c>
      <c r="D276">
        <v>176534</v>
      </c>
      <c r="E276">
        <v>115106</v>
      </c>
      <c r="F276">
        <v>61428</v>
      </c>
      <c r="G276">
        <v>42133</v>
      </c>
      <c r="H276">
        <v>492822</v>
      </c>
      <c r="I276">
        <v>176218</v>
      </c>
      <c r="J276">
        <v>316604</v>
      </c>
    </row>
    <row r="277" spans="1:10" x14ac:dyDescent="0.25">
      <c r="A277" s="1">
        <v>43646</v>
      </c>
      <c r="B277" t="s">
        <v>10</v>
      </c>
      <c r="C277" t="s">
        <v>17</v>
      </c>
      <c r="D277">
        <v>163230</v>
      </c>
      <c r="E277">
        <v>134055</v>
      </c>
      <c r="F277">
        <v>29175</v>
      </c>
      <c r="G277">
        <v>16954</v>
      </c>
      <c r="H277">
        <v>886840</v>
      </c>
      <c r="I277">
        <v>578446</v>
      </c>
      <c r="J277">
        <v>308394</v>
      </c>
    </row>
    <row r="278" spans="1:10" x14ac:dyDescent="0.25">
      <c r="A278" s="1">
        <v>43646</v>
      </c>
      <c r="B278" t="s">
        <v>11</v>
      </c>
      <c r="C278" t="s">
        <v>14</v>
      </c>
      <c r="D278">
        <v>168836</v>
      </c>
      <c r="E278">
        <v>132258</v>
      </c>
      <c r="F278">
        <v>36578</v>
      </c>
      <c r="G278">
        <v>24360</v>
      </c>
      <c r="H278">
        <v>879520</v>
      </c>
      <c r="I278">
        <v>447739</v>
      </c>
      <c r="J278">
        <v>431781</v>
      </c>
    </row>
    <row r="279" spans="1:10" x14ac:dyDescent="0.25">
      <c r="A279" s="1">
        <v>43646</v>
      </c>
      <c r="B279" t="s">
        <v>11</v>
      </c>
      <c r="C279" t="s">
        <v>15</v>
      </c>
      <c r="D279">
        <v>179111</v>
      </c>
      <c r="E279">
        <v>124929</v>
      </c>
      <c r="F279">
        <v>54182</v>
      </c>
      <c r="G279">
        <v>41212</v>
      </c>
      <c r="H279">
        <v>234911</v>
      </c>
      <c r="I279">
        <v>525037</v>
      </c>
      <c r="J279">
        <v>-290126</v>
      </c>
    </row>
    <row r="280" spans="1:10" x14ac:dyDescent="0.25">
      <c r="A280" s="1">
        <v>43646</v>
      </c>
      <c r="B280" t="s">
        <v>11</v>
      </c>
      <c r="C280" t="s">
        <v>16</v>
      </c>
      <c r="D280">
        <v>175039</v>
      </c>
      <c r="E280">
        <v>120535</v>
      </c>
      <c r="F280">
        <v>54504</v>
      </c>
      <c r="G280">
        <v>46966</v>
      </c>
      <c r="H280">
        <v>212175</v>
      </c>
      <c r="I280">
        <v>416915</v>
      </c>
      <c r="J280">
        <v>-204740</v>
      </c>
    </row>
    <row r="281" spans="1:10" x14ac:dyDescent="0.25">
      <c r="A281" s="1">
        <v>43646</v>
      </c>
      <c r="B281" t="s">
        <v>11</v>
      </c>
      <c r="C281" t="s">
        <v>17</v>
      </c>
      <c r="D281">
        <v>186925</v>
      </c>
      <c r="E281">
        <v>126358</v>
      </c>
      <c r="F281">
        <v>60567</v>
      </c>
      <c r="G281">
        <v>54624</v>
      </c>
      <c r="H281">
        <v>247057</v>
      </c>
      <c r="I281">
        <v>368294</v>
      </c>
      <c r="J281">
        <v>-121237</v>
      </c>
    </row>
    <row r="282" spans="1:10" x14ac:dyDescent="0.25">
      <c r="A282" s="1">
        <v>43646</v>
      </c>
      <c r="B282" t="s">
        <v>12</v>
      </c>
      <c r="C282" t="s">
        <v>14</v>
      </c>
      <c r="D282">
        <v>104425</v>
      </c>
      <c r="E282">
        <v>76032</v>
      </c>
      <c r="F282">
        <v>28393</v>
      </c>
      <c r="G282">
        <v>21195</v>
      </c>
      <c r="H282">
        <v>908754</v>
      </c>
      <c r="I282">
        <v>267292</v>
      </c>
      <c r="J282">
        <v>641462</v>
      </c>
    </row>
    <row r="283" spans="1:10" x14ac:dyDescent="0.25">
      <c r="A283" s="1">
        <v>43646</v>
      </c>
      <c r="B283" t="s">
        <v>12</v>
      </c>
      <c r="C283" t="s">
        <v>15</v>
      </c>
      <c r="D283">
        <v>141874</v>
      </c>
      <c r="E283">
        <v>73859</v>
      </c>
      <c r="F283">
        <v>68015</v>
      </c>
      <c r="G283">
        <v>61707</v>
      </c>
      <c r="H283">
        <v>362491</v>
      </c>
      <c r="I283">
        <v>481009</v>
      </c>
      <c r="J283">
        <v>-118518</v>
      </c>
    </row>
    <row r="284" spans="1:10" x14ac:dyDescent="0.25">
      <c r="A284" s="1">
        <v>43646</v>
      </c>
      <c r="B284" t="s">
        <v>12</v>
      </c>
      <c r="C284" t="s">
        <v>16</v>
      </c>
      <c r="D284">
        <v>108705</v>
      </c>
      <c r="E284">
        <v>102880</v>
      </c>
      <c r="F284">
        <v>5825</v>
      </c>
      <c r="G284">
        <v>-6027</v>
      </c>
      <c r="H284">
        <v>287955</v>
      </c>
      <c r="I284">
        <v>727433</v>
      </c>
      <c r="J284">
        <v>-439478</v>
      </c>
    </row>
    <row r="285" spans="1:10" x14ac:dyDescent="0.25">
      <c r="A285" s="1">
        <v>43646</v>
      </c>
      <c r="B285" t="s">
        <v>12</v>
      </c>
      <c r="C285" t="s">
        <v>17</v>
      </c>
      <c r="D285">
        <v>115358</v>
      </c>
      <c r="E285">
        <v>159713</v>
      </c>
      <c r="F285">
        <v>-44355</v>
      </c>
      <c r="G285">
        <v>-62349</v>
      </c>
      <c r="H285">
        <v>407990</v>
      </c>
      <c r="I285">
        <v>478387</v>
      </c>
      <c r="J285">
        <v>-70397</v>
      </c>
    </row>
    <row r="286" spans="1:10" x14ac:dyDescent="0.25">
      <c r="A286" s="1">
        <v>43646</v>
      </c>
      <c r="B286" t="s">
        <v>13</v>
      </c>
      <c r="C286" t="s">
        <v>14</v>
      </c>
      <c r="D286">
        <v>114596</v>
      </c>
      <c r="E286">
        <v>93572</v>
      </c>
      <c r="F286">
        <v>21024</v>
      </c>
      <c r="G286">
        <v>2803</v>
      </c>
      <c r="H286">
        <v>856639</v>
      </c>
      <c r="I286">
        <v>294269</v>
      </c>
      <c r="J286">
        <v>562370</v>
      </c>
    </row>
    <row r="287" spans="1:10" x14ac:dyDescent="0.25">
      <c r="A287" s="1">
        <v>43646</v>
      </c>
      <c r="B287" t="s">
        <v>13</v>
      </c>
      <c r="C287" t="s">
        <v>15</v>
      </c>
      <c r="D287">
        <v>162516</v>
      </c>
      <c r="E287">
        <v>67083</v>
      </c>
      <c r="F287">
        <v>95433</v>
      </c>
      <c r="G287">
        <v>84447</v>
      </c>
      <c r="H287">
        <v>981817</v>
      </c>
      <c r="I287">
        <v>356713</v>
      </c>
      <c r="J287">
        <v>625104</v>
      </c>
    </row>
    <row r="288" spans="1:10" x14ac:dyDescent="0.25">
      <c r="A288" s="1">
        <v>43646</v>
      </c>
      <c r="B288" t="s">
        <v>13</v>
      </c>
      <c r="C288" t="s">
        <v>16</v>
      </c>
      <c r="D288">
        <v>148285</v>
      </c>
      <c r="E288">
        <v>79063</v>
      </c>
      <c r="F288">
        <v>69222</v>
      </c>
      <c r="G288">
        <v>62116</v>
      </c>
      <c r="H288">
        <v>290093</v>
      </c>
      <c r="I288">
        <v>607606</v>
      </c>
      <c r="J288">
        <v>-317513</v>
      </c>
    </row>
    <row r="289" spans="1:10" x14ac:dyDescent="0.25">
      <c r="A289" s="1">
        <v>43646</v>
      </c>
      <c r="B289" t="s">
        <v>13</v>
      </c>
      <c r="C289" t="s">
        <v>17</v>
      </c>
      <c r="D289">
        <v>186143</v>
      </c>
      <c r="E289">
        <v>97599</v>
      </c>
      <c r="F289">
        <v>88544</v>
      </c>
      <c r="G289">
        <v>80776</v>
      </c>
      <c r="H289">
        <v>883889</v>
      </c>
      <c r="I289">
        <v>135954</v>
      </c>
      <c r="J289">
        <v>747935</v>
      </c>
    </row>
    <row r="290" spans="1:10" x14ac:dyDescent="0.25">
      <c r="A290" s="1">
        <v>43677</v>
      </c>
      <c r="B290" t="s">
        <v>10</v>
      </c>
      <c r="C290" t="s">
        <v>14</v>
      </c>
      <c r="D290">
        <v>127856</v>
      </c>
      <c r="E290">
        <v>62573</v>
      </c>
      <c r="F290">
        <v>65283</v>
      </c>
      <c r="G290">
        <v>47475</v>
      </c>
      <c r="H290">
        <v>759655</v>
      </c>
      <c r="I290">
        <v>595553</v>
      </c>
      <c r="J290">
        <v>164102</v>
      </c>
    </row>
    <row r="291" spans="1:10" x14ac:dyDescent="0.25">
      <c r="A291" s="1">
        <v>43677</v>
      </c>
      <c r="B291" t="s">
        <v>10</v>
      </c>
      <c r="C291" t="s">
        <v>15</v>
      </c>
      <c r="D291">
        <v>199608</v>
      </c>
      <c r="E291">
        <v>120774</v>
      </c>
      <c r="F291">
        <v>78834</v>
      </c>
      <c r="G291">
        <v>66466</v>
      </c>
      <c r="H291">
        <v>348757</v>
      </c>
      <c r="I291">
        <v>413837</v>
      </c>
      <c r="J291">
        <v>-65080</v>
      </c>
    </row>
    <row r="292" spans="1:10" x14ac:dyDescent="0.25">
      <c r="A292" s="1">
        <v>43677</v>
      </c>
      <c r="B292" t="s">
        <v>10</v>
      </c>
      <c r="C292" t="s">
        <v>16</v>
      </c>
      <c r="D292">
        <v>155961</v>
      </c>
      <c r="E292">
        <v>136908</v>
      </c>
      <c r="F292">
        <v>19053</v>
      </c>
      <c r="G292">
        <v>3204</v>
      </c>
      <c r="H292">
        <v>588822</v>
      </c>
      <c r="I292">
        <v>436676</v>
      </c>
      <c r="J292">
        <v>152146</v>
      </c>
    </row>
    <row r="293" spans="1:10" x14ac:dyDescent="0.25">
      <c r="A293" s="1">
        <v>43677</v>
      </c>
      <c r="B293" t="s">
        <v>10</v>
      </c>
      <c r="C293" t="s">
        <v>17</v>
      </c>
      <c r="D293">
        <v>181994</v>
      </c>
      <c r="E293">
        <v>116133</v>
      </c>
      <c r="F293">
        <v>65861</v>
      </c>
      <c r="G293">
        <v>50494</v>
      </c>
      <c r="H293">
        <v>523412</v>
      </c>
      <c r="I293">
        <v>585417</v>
      </c>
      <c r="J293">
        <v>-62005</v>
      </c>
    </row>
    <row r="294" spans="1:10" x14ac:dyDescent="0.25">
      <c r="A294" s="1">
        <v>43677</v>
      </c>
      <c r="B294" t="s">
        <v>11</v>
      </c>
      <c r="C294" t="s">
        <v>14</v>
      </c>
      <c r="D294">
        <v>138243</v>
      </c>
      <c r="E294">
        <v>117384</v>
      </c>
      <c r="F294">
        <v>20859</v>
      </c>
      <c r="G294">
        <v>5586</v>
      </c>
      <c r="H294">
        <v>428504</v>
      </c>
      <c r="I294">
        <v>746117</v>
      </c>
      <c r="J294">
        <v>-317613</v>
      </c>
    </row>
    <row r="295" spans="1:10" x14ac:dyDescent="0.25">
      <c r="A295" s="1">
        <v>43677</v>
      </c>
      <c r="B295" t="s">
        <v>11</v>
      </c>
      <c r="C295" t="s">
        <v>15</v>
      </c>
      <c r="D295">
        <v>178411</v>
      </c>
      <c r="E295">
        <v>61622</v>
      </c>
      <c r="F295">
        <v>116789</v>
      </c>
      <c r="G295">
        <v>103748</v>
      </c>
      <c r="H295">
        <v>741013</v>
      </c>
      <c r="I295">
        <v>151226</v>
      </c>
      <c r="J295">
        <v>589787</v>
      </c>
    </row>
    <row r="296" spans="1:10" x14ac:dyDescent="0.25">
      <c r="A296" s="1">
        <v>43677</v>
      </c>
      <c r="B296" t="s">
        <v>11</v>
      </c>
      <c r="C296" t="s">
        <v>16</v>
      </c>
      <c r="D296">
        <v>181182</v>
      </c>
      <c r="E296">
        <v>142565</v>
      </c>
      <c r="F296">
        <v>38617</v>
      </c>
      <c r="G296">
        <v>20599</v>
      </c>
      <c r="H296">
        <v>204263</v>
      </c>
      <c r="I296">
        <v>277900</v>
      </c>
      <c r="J296">
        <v>-73637</v>
      </c>
    </row>
    <row r="297" spans="1:10" x14ac:dyDescent="0.25">
      <c r="A297" s="1">
        <v>43677</v>
      </c>
      <c r="B297" t="s">
        <v>11</v>
      </c>
      <c r="C297" t="s">
        <v>17</v>
      </c>
      <c r="D297">
        <v>147924</v>
      </c>
      <c r="E297">
        <v>134182</v>
      </c>
      <c r="F297">
        <v>13742</v>
      </c>
      <c r="G297">
        <v>-2403</v>
      </c>
      <c r="H297">
        <v>652268</v>
      </c>
      <c r="I297">
        <v>397881</v>
      </c>
      <c r="J297">
        <v>254387</v>
      </c>
    </row>
    <row r="298" spans="1:10" x14ac:dyDescent="0.25">
      <c r="A298" s="1">
        <v>43677</v>
      </c>
      <c r="B298" t="s">
        <v>12</v>
      </c>
      <c r="C298" t="s">
        <v>14</v>
      </c>
      <c r="D298">
        <v>189563</v>
      </c>
      <c r="E298">
        <v>89373</v>
      </c>
      <c r="F298">
        <v>100190</v>
      </c>
      <c r="G298">
        <v>92509</v>
      </c>
      <c r="H298">
        <v>891757</v>
      </c>
      <c r="I298">
        <v>490719</v>
      </c>
      <c r="J298">
        <v>401038</v>
      </c>
    </row>
    <row r="299" spans="1:10" x14ac:dyDescent="0.25">
      <c r="A299" s="1">
        <v>43677</v>
      </c>
      <c r="B299" t="s">
        <v>12</v>
      </c>
      <c r="C299" t="s">
        <v>15</v>
      </c>
      <c r="D299">
        <v>186145</v>
      </c>
      <c r="E299">
        <v>98709</v>
      </c>
      <c r="F299">
        <v>87436</v>
      </c>
      <c r="G299">
        <v>81050</v>
      </c>
      <c r="H299">
        <v>392192</v>
      </c>
      <c r="I299">
        <v>250322</v>
      </c>
      <c r="J299">
        <v>141870</v>
      </c>
    </row>
    <row r="300" spans="1:10" x14ac:dyDescent="0.25">
      <c r="A300" s="1">
        <v>43677</v>
      </c>
      <c r="B300" t="s">
        <v>12</v>
      </c>
      <c r="C300" t="s">
        <v>16</v>
      </c>
      <c r="D300">
        <v>121172</v>
      </c>
      <c r="E300">
        <v>71555</v>
      </c>
      <c r="F300">
        <v>49617</v>
      </c>
      <c r="G300">
        <v>39127</v>
      </c>
      <c r="H300">
        <v>777564</v>
      </c>
      <c r="I300">
        <v>681780</v>
      </c>
      <c r="J300">
        <v>95784</v>
      </c>
    </row>
    <row r="301" spans="1:10" x14ac:dyDescent="0.25">
      <c r="A301" s="1">
        <v>43677</v>
      </c>
      <c r="B301" t="s">
        <v>12</v>
      </c>
      <c r="C301" t="s">
        <v>17</v>
      </c>
      <c r="D301">
        <v>153002</v>
      </c>
      <c r="E301">
        <v>149599</v>
      </c>
      <c r="F301">
        <v>3403</v>
      </c>
      <c r="G301">
        <v>-8416</v>
      </c>
      <c r="H301">
        <v>422320</v>
      </c>
      <c r="I301">
        <v>517978</v>
      </c>
      <c r="J301">
        <v>-95658</v>
      </c>
    </row>
    <row r="302" spans="1:10" x14ac:dyDescent="0.25">
      <c r="A302" s="1">
        <v>43677</v>
      </c>
      <c r="B302" t="s">
        <v>13</v>
      </c>
      <c r="C302" t="s">
        <v>14</v>
      </c>
      <c r="D302">
        <v>111046</v>
      </c>
      <c r="E302">
        <v>156999</v>
      </c>
      <c r="F302">
        <v>-45953</v>
      </c>
      <c r="G302">
        <v>-60395</v>
      </c>
      <c r="H302">
        <v>578165</v>
      </c>
      <c r="I302">
        <v>516366</v>
      </c>
      <c r="J302">
        <v>61799</v>
      </c>
    </row>
    <row r="303" spans="1:10" x14ac:dyDescent="0.25">
      <c r="A303" s="1">
        <v>43677</v>
      </c>
      <c r="B303" t="s">
        <v>13</v>
      </c>
      <c r="C303" t="s">
        <v>15</v>
      </c>
      <c r="D303">
        <v>168247</v>
      </c>
      <c r="E303">
        <v>64853</v>
      </c>
      <c r="F303">
        <v>103394</v>
      </c>
      <c r="G303">
        <v>85701</v>
      </c>
      <c r="H303">
        <v>845188</v>
      </c>
      <c r="I303">
        <v>582615</v>
      </c>
      <c r="J303">
        <v>262573</v>
      </c>
    </row>
    <row r="304" spans="1:10" x14ac:dyDescent="0.25">
      <c r="A304" s="1">
        <v>43677</v>
      </c>
      <c r="B304" t="s">
        <v>13</v>
      </c>
      <c r="C304" t="s">
        <v>16</v>
      </c>
      <c r="D304">
        <v>121792</v>
      </c>
      <c r="E304">
        <v>119129</v>
      </c>
      <c r="F304">
        <v>2663</v>
      </c>
      <c r="G304">
        <v>-10052</v>
      </c>
      <c r="H304">
        <v>405550</v>
      </c>
      <c r="I304">
        <v>344883</v>
      </c>
      <c r="J304">
        <v>60667</v>
      </c>
    </row>
    <row r="305" spans="1:10" x14ac:dyDescent="0.25">
      <c r="A305" s="1">
        <v>43677</v>
      </c>
      <c r="B305" t="s">
        <v>13</v>
      </c>
      <c r="C305" t="s">
        <v>17</v>
      </c>
      <c r="D305">
        <v>167298</v>
      </c>
      <c r="E305">
        <v>91987</v>
      </c>
      <c r="F305">
        <v>75311</v>
      </c>
      <c r="G305">
        <v>58199</v>
      </c>
      <c r="H305">
        <v>321789</v>
      </c>
      <c r="I305">
        <v>779418</v>
      </c>
      <c r="J305">
        <v>-457629</v>
      </c>
    </row>
    <row r="306" spans="1:10" x14ac:dyDescent="0.25">
      <c r="A306" s="1">
        <v>43708</v>
      </c>
      <c r="B306" t="s">
        <v>10</v>
      </c>
      <c r="C306" t="s">
        <v>14</v>
      </c>
      <c r="D306">
        <v>145420</v>
      </c>
      <c r="E306">
        <v>98890</v>
      </c>
      <c r="F306">
        <v>46530</v>
      </c>
      <c r="G306">
        <v>41049</v>
      </c>
      <c r="H306">
        <v>378376</v>
      </c>
      <c r="I306">
        <v>788281</v>
      </c>
      <c r="J306">
        <v>-409905</v>
      </c>
    </row>
    <row r="307" spans="1:10" x14ac:dyDescent="0.25">
      <c r="A307" s="1">
        <v>43708</v>
      </c>
      <c r="B307" t="s">
        <v>10</v>
      </c>
      <c r="C307" t="s">
        <v>15</v>
      </c>
      <c r="D307">
        <v>101524</v>
      </c>
      <c r="E307">
        <v>75048</v>
      </c>
      <c r="F307">
        <v>26476</v>
      </c>
      <c r="G307">
        <v>19133</v>
      </c>
      <c r="H307">
        <v>893264</v>
      </c>
      <c r="I307">
        <v>658296</v>
      </c>
      <c r="J307">
        <v>234968</v>
      </c>
    </row>
    <row r="308" spans="1:10" x14ac:dyDescent="0.25">
      <c r="A308" s="1">
        <v>43708</v>
      </c>
      <c r="B308" t="s">
        <v>10</v>
      </c>
      <c r="C308" t="s">
        <v>16</v>
      </c>
      <c r="D308">
        <v>100060</v>
      </c>
      <c r="E308">
        <v>134666</v>
      </c>
      <c r="F308">
        <v>-34606</v>
      </c>
      <c r="G308">
        <v>-41245</v>
      </c>
      <c r="H308">
        <v>255337</v>
      </c>
      <c r="I308">
        <v>375494</v>
      </c>
      <c r="J308">
        <v>-120157</v>
      </c>
    </row>
    <row r="309" spans="1:10" x14ac:dyDescent="0.25">
      <c r="A309" s="1">
        <v>43708</v>
      </c>
      <c r="B309" t="s">
        <v>10</v>
      </c>
      <c r="C309" t="s">
        <v>17</v>
      </c>
      <c r="D309">
        <v>124354</v>
      </c>
      <c r="E309">
        <v>105186</v>
      </c>
      <c r="F309">
        <v>19168</v>
      </c>
      <c r="G309">
        <v>2407</v>
      </c>
      <c r="H309">
        <v>627236</v>
      </c>
      <c r="I309">
        <v>710411</v>
      </c>
      <c r="J309">
        <v>-83175</v>
      </c>
    </row>
    <row r="310" spans="1:10" x14ac:dyDescent="0.25">
      <c r="A310" s="1">
        <v>43708</v>
      </c>
      <c r="B310" t="s">
        <v>11</v>
      </c>
      <c r="C310" t="s">
        <v>14</v>
      </c>
      <c r="D310">
        <v>175186</v>
      </c>
      <c r="E310">
        <v>145469</v>
      </c>
      <c r="F310">
        <v>29717</v>
      </c>
      <c r="G310">
        <v>20520</v>
      </c>
      <c r="H310">
        <v>813217</v>
      </c>
      <c r="I310">
        <v>385195</v>
      </c>
      <c r="J310">
        <v>428022</v>
      </c>
    </row>
    <row r="311" spans="1:10" x14ac:dyDescent="0.25">
      <c r="A311" s="1">
        <v>43708</v>
      </c>
      <c r="B311" t="s">
        <v>11</v>
      </c>
      <c r="C311" t="s">
        <v>15</v>
      </c>
      <c r="D311">
        <v>151474</v>
      </c>
      <c r="E311">
        <v>151748</v>
      </c>
      <c r="F311">
        <v>-274</v>
      </c>
      <c r="G311">
        <v>-16581</v>
      </c>
      <c r="H311">
        <v>445690</v>
      </c>
      <c r="I311">
        <v>431770</v>
      </c>
      <c r="J311">
        <v>13920</v>
      </c>
    </row>
    <row r="312" spans="1:10" x14ac:dyDescent="0.25">
      <c r="A312" s="1">
        <v>43708</v>
      </c>
      <c r="B312" t="s">
        <v>11</v>
      </c>
      <c r="C312" t="s">
        <v>16</v>
      </c>
      <c r="D312">
        <v>106960</v>
      </c>
      <c r="E312">
        <v>95772</v>
      </c>
      <c r="F312">
        <v>11188</v>
      </c>
      <c r="G312">
        <v>1052</v>
      </c>
      <c r="H312">
        <v>380553</v>
      </c>
      <c r="I312">
        <v>660696</v>
      </c>
      <c r="J312">
        <v>-280143</v>
      </c>
    </row>
    <row r="313" spans="1:10" x14ac:dyDescent="0.25">
      <c r="A313" s="1">
        <v>43708</v>
      </c>
      <c r="B313" t="s">
        <v>11</v>
      </c>
      <c r="C313" t="s">
        <v>17</v>
      </c>
      <c r="D313">
        <v>194006</v>
      </c>
      <c r="E313">
        <v>117134</v>
      </c>
      <c r="F313">
        <v>76872</v>
      </c>
      <c r="G313">
        <v>67765</v>
      </c>
      <c r="H313">
        <v>856701</v>
      </c>
      <c r="I313">
        <v>799983</v>
      </c>
      <c r="J313">
        <v>56718</v>
      </c>
    </row>
    <row r="314" spans="1:10" x14ac:dyDescent="0.25">
      <c r="A314" s="1">
        <v>43708</v>
      </c>
      <c r="B314" t="s">
        <v>12</v>
      </c>
      <c r="C314" t="s">
        <v>14</v>
      </c>
      <c r="D314">
        <v>190327</v>
      </c>
      <c r="E314">
        <v>60338</v>
      </c>
      <c r="F314">
        <v>129989</v>
      </c>
      <c r="G314">
        <v>119094</v>
      </c>
      <c r="H314">
        <v>343326</v>
      </c>
      <c r="I314">
        <v>111344</v>
      </c>
      <c r="J314">
        <v>231982</v>
      </c>
    </row>
    <row r="315" spans="1:10" x14ac:dyDescent="0.25">
      <c r="A315" s="1">
        <v>43708</v>
      </c>
      <c r="B315" t="s">
        <v>12</v>
      </c>
      <c r="C315" t="s">
        <v>15</v>
      </c>
      <c r="D315">
        <v>101750</v>
      </c>
      <c r="E315">
        <v>114756</v>
      </c>
      <c r="F315">
        <v>-13006</v>
      </c>
      <c r="G315">
        <v>-20427</v>
      </c>
      <c r="H315">
        <v>305423</v>
      </c>
      <c r="I315">
        <v>420197</v>
      </c>
      <c r="J315">
        <v>-114774</v>
      </c>
    </row>
    <row r="316" spans="1:10" x14ac:dyDescent="0.25">
      <c r="A316" s="1">
        <v>43708</v>
      </c>
      <c r="B316" t="s">
        <v>12</v>
      </c>
      <c r="C316" t="s">
        <v>16</v>
      </c>
      <c r="D316">
        <v>170855</v>
      </c>
      <c r="E316">
        <v>75896</v>
      </c>
      <c r="F316">
        <v>94959</v>
      </c>
      <c r="G316">
        <v>83350</v>
      </c>
      <c r="H316">
        <v>917912</v>
      </c>
      <c r="I316">
        <v>177454</v>
      </c>
      <c r="J316">
        <v>740458</v>
      </c>
    </row>
    <row r="317" spans="1:10" x14ac:dyDescent="0.25">
      <c r="A317" s="1">
        <v>43708</v>
      </c>
      <c r="B317" t="s">
        <v>12</v>
      </c>
      <c r="C317" t="s">
        <v>17</v>
      </c>
      <c r="D317">
        <v>190600</v>
      </c>
      <c r="E317">
        <v>87935</v>
      </c>
      <c r="F317">
        <v>102665</v>
      </c>
      <c r="G317">
        <v>92792</v>
      </c>
      <c r="H317">
        <v>753999</v>
      </c>
      <c r="I317">
        <v>469040</v>
      </c>
      <c r="J317">
        <v>284959</v>
      </c>
    </row>
    <row r="318" spans="1:10" x14ac:dyDescent="0.25">
      <c r="A318" s="1">
        <v>43708</v>
      </c>
      <c r="B318" t="s">
        <v>13</v>
      </c>
      <c r="C318" t="s">
        <v>14</v>
      </c>
      <c r="D318">
        <v>112182</v>
      </c>
      <c r="E318">
        <v>147833</v>
      </c>
      <c r="F318">
        <v>-35651</v>
      </c>
      <c r="G318">
        <v>-47775</v>
      </c>
      <c r="H318">
        <v>481685</v>
      </c>
      <c r="I318">
        <v>575526</v>
      </c>
      <c r="J318">
        <v>-93841</v>
      </c>
    </row>
    <row r="319" spans="1:10" x14ac:dyDescent="0.25">
      <c r="A319" s="1">
        <v>43708</v>
      </c>
      <c r="B319" t="s">
        <v>13</v>
      </c>
      <c r="C319" t="s">
        <v>15</v>
      </c>
      <c r="D319">
        <v>144813</v>
      </c>
      <c r="E319">
        <v>97198</v>
      </c>
      <c r="F319">
        <v>47615</v>
      </c>
      <c r="G319">
        <v>33795</v>
      </c>
      <c r="H319">
        <v>486214</v>
      </c>
      <c r="I319">
        <v>442703</v>
      </c>
      <c r="J319">
        <v>43511</v>
      </c>
    </row>
    <row r="320" spans="1:10" x14ac:dyDescent="0.25">
      <c r="A320" s="1">
        <v>43708</v>
      </c>
      <c r="B320" t="s">
        <v>13</v>
      </c>
      <c r="C320" t="s">
        <v>16</v>
      </c>
      <c r="D320">
        <v>173543</v>
      </c>
      <c r="E320">
        <v>143441</v>
      </c>
      <c r="F320">
        <v>30102</v>
      </c>
      <c r="G320">
        <v>16084</v>
      </c>
      <c r="H320">
        <v>950294</v>
      </c>
      <c r="I320">
        <v>499953</v>
      </c>
      <c r="J320">
        <v>450341</v>
      </c>
    </row>
    <row r="321" spans="1:10" x14ac:dyDescent="0.25">
      <c r="A321" s="1">
        <v>43708</v>
      </c>
      <c r="B321" t="s">
        <v>13</v>
      </c>
      <c r="C321" t="s">
        <v>17</v>
      </c>
      <c r="D321">
        <v>136062</v>
      </c>
      <c r="E321">
        <v>114237</v>
      </c>
      <c r="F321">
        <v>21825</v>
      </c>
      <c r="G321">
        <v>14406</v>
      </c>
      <c r="H321">
        <v>487654</v>
      </c>
      <c r="I321">
        <v>381570</v>
      </c>
      <c r="J321">
        <v>106084</v>
      </c>
    </row>
    <row r="322" spans="1:10" x14ac:dyDescent="0.25">
      <c r="A322" s="1">
        <v>43738</v>
      </c>
      <c r="B322" t="s">
        <v>10</v>
      </c>
      <c r="C322" t="s">
        <v>14</v>
      </c>
      <c r="D322">
        <v>137265</v>
      </c>
      <c r="E322">
        <v>77850</v>
      </c>
      <c r="F322">
        <v>59415</v>
      </c>
      <c r="G322">
        <v>50854</v>
      </c>
      <c r="H322">
        <v>266150</v>
      </c>
      <c r="I322">
        <v>711600</v>
      </c>
      <c r="J322">
        <v>-445450</v>
      </c>
    </row>
    <row r="323" spans="1:10" x14ac:dyDescent="0.25">
      <c r="A323" s="1">
        <v>43738</v>
      </c>
      <c r="B323" t="s">
        <v>10</v>
      </c>
      <c r="C323" t="s">
        <v>15</v>
      </c>
      <c r="D323">
        <v>189613</v>
      </c>
      <c r="E323">
        <v>134910</v>
      </c>
      <c r="F323">
        <v>54703</v>
      </c>
      <c r="G323">
        <v>46480</v>
      </c>
      <c r="H323">
        <v>321826</v>
      </c>
      <c r="I323">
        <v>659723</v>
      </c>
      <c r="J323">
        <v>-337897</v>
      </c>
    </row>
    <row r="324" spans="1:10" x14ac:dyDescent="0.25">
      <c r="A324" s="1">
        <v>43738</v>
      </c>
      <c r="B324" t="s">
        <v>10</v>
      </c>
      <c r="C324" t="s">
        <v>16</v>
      </c>
      <c r="D324">
        <v>196443</v>
      </c>
      <c r="E324">
        <v>117132</v>
      </c>
      <c r="F324">
        <v>79311</v>
      </c>
      <c r="G324">
        <v>60902</v>
      </c>
      <c r="H324">
        <v>334055</v>
      </c>
      <c r="I324">
        <v>590457</v>
      </c>
      <c r="J324">
        <v>-256402</v>
      </c>
    </row>
    <row r="325" spans="1:10" x14ac:dyDescent="0.25">
      <c r="A325" s="1">
        <v>43738</v>
      </c>
      <c r="B325" t="s">
        <v>10</v>
      </c>
      <c r="C325" t="s">
        <v>17</v>
      </c>
      <c r="D325">
        <v>120662</v>
      </c>
      <c r="E325">
        <v>83510</v>
      </c>
      <c r="F325">
        <v>37152</v>
      </c>
      <c r="G325">
        <v>19501</v>
      </c>
      <c r="H325">
        <v>896358</v>
      </c>
      <c r="I325">
        <v>550062</v>
      </c>
      <c r="J325">
        <v>346296</v>
      </c>
    </row>
    <row r="326" spans="1:10" x14ac:dyDescent="0.25">
      <c r="A326" s="1">
        <v>43738</v>
      </c>
      <c r="B326" t="s">
        <v>11</v>
      </c>
      <c r="C326" t="s">
        <v>14</v>
      </c>
      <c r="D326">
        <v>194071</v>
      </c>
      <c r="E326">
        <v>66640</v>
      </c>
      <c r="F326">
        <v>127431</v>
      </c>
      <c r="G326">
        <v>110652</v>
      </c>
      <c r="H326">
        <v>346389</v>
      </c>
      <c r="I326">
        <v>739896</v>
      </c>
      <c r="J326">
        <v>-393507</v>
      </c>
    </row>
    <row r="327" spans="1:10" x14ac:dyDescent="0.25">
      <c r="A327" s="1">
        <v>43738</v>
      </c>
      <c r="B327" t="s">
        <v>11</v>
      </c>
      <c r="C327" t="s">
        <v>15</v>
      </c>
      <c r="D327">
        <v>107564</v>
      </c>
      <c r="E327">
        <v>87345</v>
      </c>
      <c r="F327">
        <v>20219</v>
      </c>
      <c r="G327">
        <v>2916</v>
      </c>
      <c r="H327">
        <v>454444</v>
      </c>
      <c r="I327">
        <v>703561</v>
      </c>
      <c r="J327">
        <v>-249117</v>
      </c>
    </row>
    <row r="328" spans="1:10" x14ac:dyDescent="0.25">
      <c r="A328" s="1">
        <v>43738</v>
      </c>
      <c r="B328" t="s">
        <v>11</v>
      </c>
      <c r="C328" t="s">
        <v>16</v>
      </c>
      <c r="D328">
        <v>174859</v>
      </c>
      <c r="E328">
        <v>140765</v>
      </c>
      <c r="F328">
        <v>34094</v>
      </c>
      <c r="G328">
        <v>17381</v>
      </c>
      <c r="H328">
        <v>323618</v>
      </c>
      <c r="I328">
        <v>559297</v>
      </c>
      <c r="J328">
        <v>-235679</v>
      </c>
    </row>
    <row r="329" spans="1:10" x14ac:dyDescent="0.25">
      <c r="A329" s="1">
        <v>43738</v>
      </c>
      <c r="B329" t="s">
        <v>11</v>
      </c>
      <c r="C329" t="s">
        <v>17</v>
      </c>
      <c r="D329">
        <v>129430</v>
      </c>
      <c r="E329">
        <v>135532</v>
      </c>
      <c r="F329">
        <v>-6102</v>
      </c>
      <c r="G329">
        <v>-22506</v>
      </c>
      <c r="H329">
        <v>950865</v>
      </c>
      <c r="I329">
        <v>541759</v>
      </c>
      <c r="J329">
        <v>409106</v>
      </c>
    </row>
    <row r="330" spans="1:10" x14ac:dyDescent="0.25">
      <c r="A330" s="1">
        <v>43738</v>
      </c>
      <c r="B330" t="s">
        <v>12</v>
      </c>
      <c r="C330" t="s">
        <v>14</v>
      </c>
      <c r="D330">
        <v>113919</v>
      </c>
      <c r="E330">
        <v>129346</v>
      </c>
      <c r="F330">
        <v>-15427</v>
      </c>
      <c r="G330">
        <v>-34629</v>
      </c>
      <c r="H330">
        <v>764262</v>
      </c>
      <c r="I330">
        <v>640659</v>
      </c>
      <c r="J330">
        <v>123603</v>
      </c>
    </row>
    <row r="331" spans="1:10" x14ac:dyDescent="0.25">
      <c r="A331" s="1">
        <v>43738</v>
      </c>
      <c r="B331" t="s">
        <v>12</v>
      </c>
      <c r="C331" t="s">
        <v>15</v>
      </c>
      <c r="D331">
        <v>145084</v>
      </c>
      <c r="E331">
        <v>89629</v>
      </c>
      <c r="F331">
        <v>55455</v>
      </c>
      <c r="G331">
        <v>48423</v>
      </c>
      <c r="H331">
        <v>524060</v>
      </c>
      <c r="I331">
        <v>698260</v>
      </c>
      <c r="J331">
        <v>-174200</v>
      </c>
    </row>
    <row r="332" spans="1:10" x14ac:dyDescent="0.25">
      <c r="A332" s="1">
        <v>43738</v>
      </c>
      <c r="B332" t="s">
        <v>12</v>
      </c>
      <c r="C332" t="s">
        <v>16</v>
      </c>
      <c r="D332">
        <v>162187</v>
      </c>
      <c r="E332">
        <v>72984</v>
      </c>
      <c r="F332">
        <v>89203</v>
      </c>
      <c r="G332">
        <v>83932</v>
      </c>
      <c r="H332">
        <v>809719</v>
      </c>
      <c r="I332">
        <v>503832</v>
      </c>
      <c r="J332">
        <v>305887</v>
      </c>
    </row>
    <row r="333" spans="1:10" x14ac:dyDescent="0.25">
      <c r="A333" s="1">
        <v>43738</v>
      </c>
      <c r="B333" t="s">
        <v>12</v>
      </c>
      <c r="C333" t="s">
        <v>17</v>
      </c>
      <c r="D333">
        <v>150072</v>
      </c>
      <c r="E333">
        <v>84574</v>
      </c>
      <c r="F333">
        <v>65498</v>
      </c>
      <c r="G333">
        <v>57068</v>
      </c>
      <c r="H333">
        <v>450195</v>
      </c>
      <c r="I333">
        <v>243748</v>
      </c>
      <c r="J333">
        <v>206447</v>
      </c>
    </row>
    <row r="334" spans="1:10" x14ac:dyDescent="0.25">
      <c r="A334" s="1">
        <v>43738</v>
      </c>
      <c r="B334" t="s">
        <v>13</v>
      </c>
      <c r="C334" t="s">
        <v>14</v>
      </c>
      <c r="D334">
        <v>110816</v>
      </c>
      <c r="E334">
        <v>92733</v>
      </c>
      <c r="F334">
        <v>18083</v>
      </c>
      <c r="G334">
        <v>9323</v>
      </c>
      <c r="H334">
        <v>726338</v>
      </c>
      <c r="I334">
        <v>209996</v>
      </c>
      <c r="J334">
        <v>516342</v>
      </c>
    </row>
    <row r="335" spans="1:10" x14ac:dyDescent="0.25">
      <c r="A335" s="1">
        <v>43738</v>
      </c>
      <c r="B335" t="s">
        <v>13</v>
      </c>
      <c r="C335" t="s">
        <v>15</v>
      </c>
      <c r="D335">
        <v>133933</v>
      </c>
      <c r="E335">
        <v>84951</v>
      </c>
      <c r="F335">
        <v>48982</v>
      </c>
      <c r="G335">
        <v>41949</v>
      </c>
      <c r="H335">
        <v>910979</v>
      </c>
      <c r="I335">
        <v>533816</v>
      </c>
      <c r="J335">
        <v>377163</v>
      </c>
    </row>
    <row r="336" spans="1:10" x14ac:dyDescent="0.25">
      <c r="A336" s="1">
        <v>43738</v>
      </c>
      <c r="B336" t="s">
        <v>13</v>
      </c>
      <c r="C336" t="s">
        <v>16</v>
      </c>
      <c r="D336">
        <v>157775</v>
      </c>
      <c r="E336">
        <v>150816</v>
      </c>
      <c r="F336">
        <v>6959</v>
      </c>
      <c r="G336">
        <v>-6214</v>
      </c>
      <c r="H336">
        <v>967950</v>
      </c>
      <c r="I336">
        <v>266472</v>
      </c>
      <c r="J336">
        <v>701478</v>
      </c>
    </row>
    <row r="337" spans="1:10" x14ac:dyDescent="0.25">
      <c r="A337" s="1">
        <v>43738</v>
      </c>
      <c r="B337" t="s">
        <v>13</v>
      </c>
      <c r="C337" t="s">
        <v>17</v>
      </c>
      <c r="D337">
        <v>104494</v>
      </c>
      <c r="E337">
        <v>140688</v>
      </c>
      <c r="F337">
        <v>-36194</v>
      </c>
      <c r="G337">
        <v>-49250</v>
      </c>
      <c r="H337">
        <v>930051</v>
      </c>
      <c r="I337">
        <v>601946</v>
      </c>
      <c r="J337">
        <v>328105</v>
      </c>
    </row>
    <row r="338" spans="1:10" x14ac:dyDescent="0.25">
      <c r="A338" s="1">
        <v>43769</v>
      </c>
      <c r="B338" t="s">
        <v>10</v>
      </c>
      <c r="C338" t="s">
        <v>14</v>
      </c>
      <c r="D338">
        <v>143001</v>
      </c>
      <c r="E338">
        <v>127364</v>
      </c>
      <c r="F338">
        <v>15637</v>
      </c>
      <c r="G338">
        <v>337</v>
      </c>
      <c r="H338">
        <v>438506</v>
      </c>
      <c r="I338">
        <v>530789</v>
      </c>
      <c r="J338">
        <v>-92283</v>
      </c>
    </row>
    <row r="339" spans="1:10" x14ac:dyDescent="0.25">
      <c r="A339" s="1">
        <v>43769</v>
      </c>
      <c r="B339" t="s">
        <v>10</v>
      </c>
      <c r="C339" t="s">
        <v>15</v>
      </c>
      <c r="D339">
        <v>100806</v>
      </c>
      <c r="E339">
        <v>116638</v>
      </c>
      <c r="F339">
        <v>-15832</v>
      </c>
      <c r="G339">
        <v>-34445</v>
      </c>
      <c r="H339">
        <v>699722</v>
      </c>
      <c r="I339">
        <v>785117</v>
      </c>
      <c r="J339">
        <v>-85395</v>
      </c>
    </row>
    <row r="340" spans="1:10" x14ac:dyDescent="0.25">
      <c r="A340" s="1">
        <v>43769</v>
      </c>
      <c r="B340" t="s">
        <v>10</v>
      </c>
      <c r="C340" t="s">
        <v>16</v>
      </c>
      <c r="D340">
        <v>134636</v>
      </c>
      <c r="E340">
        <v>140097</v>
      </c>
      <c r="F340">
        <v>-5461</v>
      </c>
      <c r="G340">
        <v>-18339</v>
      </c>
      <c r="H340">
        <v>393283</v>
      </c>
      <c r="I340">
        <v>550195</v>
      </c>
      <c r="J340">
        <v>-156912</v>
      </c>
    </row>
    <row r="341" spans="1:10" x14ac:dyDescent="0.25">
      <c r="A341" s="1">
        <v>43769</v>
      </c>
      <c r="B341" t="s">
        <v>10</v>
      </c>
      <c r="C341" t="s">
        <v>17</v>
      </c>
      <c r="D341">
        <v>181470</v>
      </c>
      <c r="E341">
        <v>98197</v>
      </c>
      <c r="F341">
        <v>83273</v>
      </c>
      <c r="G341">
        <v>69197</v>
      </c>
      <c r="H341">
        <v>526898</v>
      </c>
      <c r="I341">
        <v>402186</v>
      </c>
      <c r="J341">
        <v>124712</v>
      </c>
    </row>
    <row r="342" spans="1:10" x14ac:dyDescent="0.25">
      <c r="A342" s="1">
        <v>43769</v>
      </c>
      <c r="B342" t="s">
        <v>11</v>
      </c>
      <c r="C342" t="s">
        <v>14</v>
      </c>
      <c r="D342">
        <v>161665</v>
      </c>
      <c r="E342">
        <v>142856</v>
      </c>
      <c r="F342">
        <v>18809</v>
      </c>
      <c r="G342">
        <v>2817</v>
      </c>
      <c r="H342">
        <v>386626</v>
      </c>
      <c r="I342">
        <v>245271</v>
      </c>
      <c r="J342">
        <v>141355</v>
      </c>
    </row>
    <row r="343" spans="1:10" x14ac:dyDescent="0.25">
      <c r="A343" s="1">
        <v>43769</v>
      </c>
      <c r="B343" t="s">
        <v>11</v>
      </c>
      <c r="C343" t="s">
        <v>15</v>
      </c>
      <c r="D343">
        <v>181412</v>
      </c>
      <c r="E343">
        <v>110948</v>
      </c>
      <c r="F343">
        <v>70464</v>
      </c>
      <c r="G343">
        <v>57219</v>
      </c>
      <c r="H343">
        <v>665966</v>
      </c>
      <c r="I343">
        <v>166262</v>
      </c>
      <c r="J343">
        <v>499704</v>
      </c>
    </row>
    <row r="344" spans="1:10" x14ac:dyDescent="0.25">
      <c r="A344" s="1">
        <v>43769</v>
      </c>
      <c r="B344" t="s">
        <v>11</v>
      </c>
      <c r="C344" t="s">
        <v>16</v>
      </c>
      <c r="D344">
        <v>146600</v>
      </c>
      <c r="E344">
        <v>136898</v>
      </c>
      <c r="F344">
        <v>9702</v>
      </c>
      <c r="G344">
        <v>-8629</v>
      </c>
      <c r="H344">
        <v>349369</v>
      </c>
      <c r="I344">
        <v>654736</v>
      </c>
      <c r="J344">
        <v>-305367</v>
      </c>
    </row>
    <row r="345" spans="1:10" x14ac:dyDescent="0.25">
      <c r="A345" s="1">
        <v>43769</v>
      </c>
      <c r="B345" t="s">
        <v>11</v>
      </c>
      <c r="C345" t="s">
        <v>17</v>
      </c>
      <c r="D345">
        <v>126172</v>
      </c>
      <c r="E345">
        <v>102874</v>
      </c>
      <c r="F345">
        <v>23298</v>
      </c>
      <c r="G345">
        <v>10641</v>
      </c>
      <c r="H345">
        <v>677602</v>
      </c>
      <c r="I345">
        <v>474999</v>
      </c>
      <c r="J345">
        <v>202603</v>
      </c>
    </row>
    <row r="346" spans="1:10" x14ac:dyDescent="0.25">
      <c r="A346" s="1">
        <v>43769</v>
      </c>
      <c r="B346" t="s">
        <v>12</v>
      </c>
      <c r="C346" t="s">
        <v>14</v>
      </c>
      <c r="D346">
        <v>124578</v>
      </c>
      <c r="E346">
        <v>88831</v>
      </c>
      <c r="F346">
        <v>35747</v>
      </c>
      <c r="G346">
        <v>22841</v>
      </c>
      <c r="H346">
        <v>523557</v>
      </c>
      <c r="I346">
        <v>678316</v>
      </c>
      <c r="J346">
        <v>-154759</v>
      </c>
    </row>
    <row r="347" spans="1:10" x14ac:dyDescent="0.25">
      <c r="A347" s="1">
        <v>43769</v>
      </c>
      <c r="B347" t="s">
        <v>12</v>
      </c>
      <c r="C347" t="s">
        <v>15</v>
      </c>
      <c r="D347">
        <v>107287</v>
      </c>
      <c r="E347">
        <v>93660</v>
      </c>
      <c r="F347">
        <v>13627</v>
      </c>
      <c r="G347">
        <v>-1595</v>
      </c>
      <c r="H347">
        <v>915080</v>
      </c>
      <c r="I347">
        <v>727267</v>
      </c>
      <c r="J347">
        <v>187813</v>
      </c>
    </row>
    <row r="348" spans="1:10" x14ac:dyDescent="0.25">
      <c r="A348" s="1">
        <v>43769</v>
      </c>
      <c r="B348" t="s">
        <v>12</v>
      </c>
      <c r="C348" t="s">
        <v>16</v>
      </c>
      <c r="D348">
        <v>134701</v>
      </c>
      <c r="E348">
        <v>143300</v>
      </c>
      <c r="F348">
        <v>-8599</v>
      </c>
      <c r="G348">
        <v>-25472</v>
      </c>
      <c r="H348">
        <v>873034</v>
      </c>
      <c r="I348">
        <v>183560</v>
      </c>
      <c r="J348">
        <v>689474</v>
      </c>
    </row>
    <row r="349" spans="1:10" x14ac:dyDescent="0.25">
      <c r="A349" s="1">
        <v>43769</v>
      </c>
      <c r="B349" t="s">
        <v>12</v>
      </c>
      <c r="C349" t="s">
        <v>17</v>
      </c>
      <c r="D349">
        <v>123874</v>
      </c>
      <c r="E349">
        <v>103642</v>
      </c>
      <c r="F349">
        <v>20232</v>
      </c>
      <c r="G349">
        <v>6053</v>
      </c>
      <c r="H349">
        <v>691036</v>
      </c>
      <c r="I349">
        <v>427304</v>
      </c>
      <c r="J349">
        <v>263732</v>
      </c>
    </row>
    <row r="350" spans="1:10" x14ac:dyDescent="0.25">
      <c r="A350" s="1">
        <v>43769</v>
      </c>
      <c r="B350" t="s">
        <v>13</v>
      </c>
      <c r="C350" t="s">
        <v>14</v>
      </c>
      <c r="D350">
        <v>117602</v>
      </c>
      <c r="E350">
        <v>148801</v>
      </c>
      <c r="F350">
        <v>-31199</v>
      </c>
      <c r="G350">
        <v>-45746</v>
      </c>
      <c r="H350">
        <v>294377</v>
      </c>
      <c r="I350">
        <v>426916</v>
      </c>
      <c r="J350">
        <v>-132539</v>
      </c>
    </row>
    <row r="351" spans="1:10" x14ac:dyDescent="0.25">
      <c r="A351" s="1">
        <v>43769</v>
      </c>
      <c r="B351" t="s">
        <v>13</v>
      </c>
      <c r="C351" t="s">
        <v>15</v>
      </c>
      <c r="D351">
        <v>158762</v>
      </c>
      <c r="E351">
        <v>110106</v>
      </c>
      <c r="F351">
        <v>48656</v>
      </c>
      <c r="G351">
        <v>34481</v>
      </c>
      <c r="H351">
        <v>758030</v>
      </c>
      <c r="I351">
        <v>777114</v>
      </c>
      <c r="J351">
        <v>-19084</v>
      </c>
    </row>
    <row r="352" spans="1:10" x14ac:dyDescent="0.25">
      <c r="A352" s="1">
        <v>43769</v>
      </c>
      <c r="B352" t="s">
        <v>13</v>
      </c>
      <c r="C352" t="s">
        <v>16</v>
      </c>
      <c r="D352">
        <v>103972</v>
      </c>
      <c r="E352">
        <v>130831</v>
      </c>
      <c r="F352">
        <v>-26859</v>
      </c>
      <c r="G352">
        <v>-45772</v>
      </c>
      <c r="H352">
        <v>766161</v>
      </c>
      <c r="I352">
        <v>503119</v>
      </c>
      <c r="J352">
        <v>263042</v>
      </c>
    </row>
    <row r="353" spans="1:10" x14ac:dyDescent="0.25">
      <c r="A353" s="1">
        <v>43769</v>
      </c>
      <c r="B353" t="s">
        <v>13</v>
      </c>
      <c r="C353" t="s">
        <v>17</v>
      </c>
      <c r="D353">
        <v>103020</v>
      </c>
      <c r="E353">
        <v>101755</v>
      </c>
      <c r="F353">
        <v>1265</v>
      </c>
      <c r="G353">
        <v>-7771</v>
      </c>
      <c r="H353">
        <v>286988</v>
      </c>
      <c r="I353">
        <v>669936</v>
      </c>
      <c r="J353">
        <v>-382948</v>
      </c>
    </row>
    <row r="354" spans="1:10" x14ac:dyDescent="0.25">
      <c r="A354" s="1">
        <v>43799</v>
      </c>
      <c r="B354" t="s">
        <v>10</v>
      </c>
      <c r="C354" t="s">
        <v>14</v>
      </c>
      <c r="D354">
        <v>109516</v>
      </c>
      <c r="E354">
        <v>62396</v>
      </c>
      <c r="F354">
        <v>47120</v>
      </c>
      <c r="G354">
        <v>39958</v>
      </c>
      <c r="H354">
        <v>328322</v>
      </c>
      <c r="I354">
        <v>756951</v>
      </c>
      <c r="J354">
        <v>-428629</v>
      </c>
    </row>
    <row r="355" spans="1:10" x14ac:dyDescent="0.25">
      <c r="A355" s="1">
        <v>43799</v>
      </c>
      <c r="B355" t="s">
        <v>10</v>
      </c>
      <c r="C355" t="s">
        <v>15</v>
      </c>
      <c r="D355">
        <v>111303</v>
      </c>
      <c r="E355">
        <v>90561</v>
      </c>
      <c r="F355">
        <v>20742</v>
      </c>
      <c r="G355">
        <v>9559</v>
      </c>
      <c r="H355">
        <v>449690</v>
      </c>
      <c r="I355">
        <v>199616</v>
      </c>
      <c r="J355">
        <v>250074</v>
      </c>
    </row>
    <row r="356" spans="1:10" x14ac:dyDescent="0.25">
      <c r="A356" s="1">
        <v>43799</v>
      </c>
      <c r="B356" t="s">
        <v>10</v>
      </c>
      <c r="C356" t="s">
        <v>16</v>
      </c>
      <c r="D356">
        <v>186231</v>
      </c>
      <c r="E356">
        <v>67314</v>
      </c>
      <c r="F356">
        <v>118917</v>
      </c>
      <c r="G356">
        <v>111534</v>
      </c>
      <c r="H356">
        <v>219623</v>
      </c>
      <c r="I356">
        <v>590042</v>
      </c>
      <c r="J356">
        <v>-370419</v>
      </c>
    </row>
    <row r="357" spans="1:10" x14ac:dyDescent="0.25">
      <c r="A357" s="1">
        <v>43799</v>
      </c>
      <c r="B357" t="s">
        <v>10</v>
      </c>
      <c r="C357" t="s">
        <v>17</v>
      </c>
      <c r="D357">
        <v>165082</v>
      </c>
      <c r="E357">
        <v>143624</v>
      </c>
      <c r="F357">
        <v>21458</v>
      </c>
      <c r="G357">
        <v>9534</v>
      </c>
      <c r="H357">
        <v>626346</v>
      </c>
      <c r="I357">
        <v>781652</v>
      </c>
      <c r="J357">
        <v>-155306</v>
      </c>
    </row>
    <row r="358" spans="1:10" x14ac:dyDescent="0.25">
      <c r="A358" s="1">
        <v>43799</v>
      </c>
      <c r="B358" t="s">
        <v>11</v>
      </c>
      <c r="C358" t="s">
        <v>14</v>
      </c>
      <c r="D358">
        <v>186206</v>
      </c>
      <c r="E358">
        <v>129274</v>
      </c>
      <c r="F358">
        <v>56932</v>
      </c>
      <c r="G358">
        <v>49463</v>
      </c>
      <c r="H358">
        <v>253947</v>
      </c>
      <c r="I358">
        <v>777894</v>
      </c>
      <c r="J358">
        <v>-523947</v>
      </c>
    </row>
    <row r="359" spans="1:10" x14ac:dyDescent="0.25">
      <c r="A359" s="1">
        <v>43799</v>
      </c>
      <c r="B359" t="s">
        <v>11</v>
      </c>
      <c r="C359" t="s">
        <v>15</v>
      </c>
      <c r="D359">
        <v>163620</v>
      </c>
      <c r="E359">
        <v>108874</v>
      </c>
      <c r="F359">
        <v>54746</v>
      </c>
      <c r="G359">
        <v>49190</v>
      </c>
      <c r="H359">
        <v>274553</v>
      </c>
      <c r="I359">
        <v>692632</v>
      </c>
      <c r="J359">
        <v>-418079</v>
      </c>
    </row>
    <row r="360" spans="1:10" x14ac:dyDescent="0.25">
      <c r="A360" s="1">
        <v>43799</v>
      </c>
      <c r="B360" t="s">
        <v>11</v>
      </c>
      <c r="C360" t="s">
        <v>16</v>
      </c>
      <c r="D360">
        <v>149138</v>
      </c>
      <c r="E360">
        <v>114302</v>
      </c>
      <c r="F360">
        <v>34836</v>
      </c>
      <c r="G360">
        <v>14966</v>
      </c>
      <c r="H360">
        <v>278249</v>
      </c>
      <c r="I360">
        <v>627007</v>
      </c>
      <c r="J360">
        <v>-348758</v>
      </c>
    </row>
    <row r="361" spans="1:10" x14ac:dyDescent="0.25">
      <c r="A361" s="1">
        <v>43799</v>
      </c>
      <c r="B361" t="s">
        <v>11</v>
      </c>
      <c r="C361" t="s">
        <v>17</v>
      </c>
      <c r="D361">
        <v>122890</v>
      </c>
      <c r="E361">
        <v>137236</v>
      </c>
      <c r="F361">
        <v>-14346</v>
      </c>
      <c r="G361">
        <v>-23087</v>
      </c>
      <c r="H361">
        <v>242534</v>
      </c>
      <c r="I361">
        <v>595518</v>
      </c>
      <c r="J361">
        <v>-352984</v>
      </c>
    </row>
    <row r="362" spans="1:10" x14ac:dyDescent="0.25">
      <c r="A362" s="1">
        <v>43799</v>
      </c>
      <c r="B362" t="s">
        <v>12</v>
      </c>
      <c r="C362" t="s">
        <v>14</v>
      </c>
      <c r="D362">
        <v>192241</v>
      </c>
      <c r="E362">
        <v>78787</v>
      </c>
      <c r="F362">
        <v>113454</v>
      </c>
      <c r="G362">
        <v>96933</v>
      </c>
      <c r="H362">
        <v>642061</v>
      </c>
      <c r="I362">
        <v>289004</v>
      </c>
      <c r="J362">
        <v>353057</v>
      </c>
    </row>
    <row r="363" spans="1:10" x14ac:dyDescent="0.25">
      <c r="A363" s="1">
        <v>43799</v>
      </c>
      <c r="B363" t="s">
        <v>12</v>
      </c>
      <c r="C363" t="s">
        <v>15</v>
      </c>
      <c r="D363">
        <v>192124</v>
      </c>
      <c r="E363">
        <v>151659</v>
      </c>
      <c r="F363">
        <v>40465</v>
      </c>
      <c r="G363">
        <v>35171</v>
      </c>
      <c r="H363">
        <v>275713</v>
      </c>
      <c r="I363">
        <v>588972</v>
      </c>
      <c r="J363">
        <v>-313259</v>
      </c>
    </row>
    <row r="364" spans="1:10" x14ac:dyDescent="0.25">
      <c r="A364" s="1">
        <v>43799</v>
      </c>
      <c r="B364" t="s">
        <v>12</v>
      </c>
      <c r="C364" t="s">
        <v>16</v>
      </c>
      <c r="D364">
        <v>160461</v>
      </c>
      <c r="E364">
        <v>135418</v>
      </c>
      <c r="F364">
        <v>25043</v>
      </c>
      <c r="G364">
        <v>18907</v>
      </c>
      <c r="H364">
        <v>328232</v>
      </c>
      <c r="I364">
        <v>620551</v>
      </c>
      <c r="J364">
        <v>-292319</v>
      </c>
    </row>
    <row r="365" spans="1:10" x14ac:dyDescent="0.25">
      <c r="A365" s="1">
        <v>43799</v>
      </c>
      <c r="B365" t="s">
        <v>12</v>
      </c>
      <c r="C365" t="s">
        <v>17</v>
      </c>
      <c r="D365">
        <v>131966</v>
      </c>
      <c r="E365">
        <v>132545</v>
      </c>
      <c r="F365">
        <v>-579</v>
      </c>
      <c r="G365">
        <v>-18566</v>
      </c>
      <c r="H365">
        <v>368383</v>
      </c>
      <c r="I365">
        <v>425996</v>
      </c>
      <c r="J365">
        <v>-57613</v>
      </c>
    </row>
    <row r="366" spans="1:10" x14ac:dyDescent="0.25">
      <c r="A366" s="1">
        <v>43799</v>
      </c>
      <c r="B366" t="s">
        <v>13</v>
      </c>
      <c r="C366" t="s">
        <v>14</v>
      </c>
      <c r="D366">
        <v>101007</v>
      </c>
      <c r="E366">
        <v>130981</v>
      </c>
      <c r="F366">
        <v>-29974</v>
      </c>
      <c r="G366">
        <v>-45680</v>
      </c>
      <c r="H366">
        <v>378589</v>
      </c>
      <c r="I366">
        <v>603238</v>
      </c>
      <c r="J366">
        <v>-224649</v>
      </c>
    </row>
    <row r="367" spans="1:10" x14ac:dyDescent="0.25">
      <c r="A367" s="1">
        <v>43799</v>
      </c>
      <c r="B367" t="s">
        <v>13</v>
      </c>
      <c r="C367" t="s">
        <v>15</v>
      </c>
      <c r="D367">
        <v>129257</v>
      </c>
      <c r="E367">
        <v>147272</v>
      </c>
      <c r="F367">
        <v>-18015</v>
      </c>
      <c r="G367">
        <v>-32454</v>
      </c>
      <c r="H367">
        <v>344353</v>
      </c>
      <c r="I367">
        <v>423390</v>
      </c>
      <c r="J367">
        <v>-79037</v>
      </c>
    </row>
    <row r="368" spans="1:10" x14ac:dyDescent="0.25">
      <c r="A368" s="1">
        <v>43799</v>
      </c>
      <c r="B368" t="s">
        <v>13</v>
      </c>
      <c r="C368" t="s">
        <v>16</v>
      </c>
      <c r="D368">
        <v>101435</v>
      </c>
      <c r="E368">
        <v>158875</v>
      </c>
      <c r="F368">
        <v>-57440</v>
      </c>
      <c r="G368">
        <v>-64822</v>
      </c>
      <c r="H368">
        <v>815645</v>
      </c>
      <c r="I368">
        <v>257732</v>
      </c>
      <c r="J368">
        <v>557913</v>
      </c>
    </row>
    <row r="369" spans="1:10" x14ac:dyDescent="0.25">
      <c r="A369" s="1">
        <v>43799</v>
      </c>
      <c r="B369" t="s">
        <v>13</v>
      </c>
      <c r="C369" t="s">
        <v>17</v>
      </c>
      <c r="D369">
        <v>105084</v>
      </c>
      <c r="E369">
        <v>142197</v>
      </c>
      <c r="F369">
        <v>-37113</v>
      </c>
      <c r="G369">
        <v>-55620</v>
      </c>
      <c r="H369">
        <v>927955</v>
      </c>
      <c r="I369">
        <v>708095</v>
      </c>
      <c r="J369">
        <v>219860</v>
      </c>
    </row>
    <row r="370" spans="1:10" x14ac:dyDescent="0.25">
      <c r="A370" s="1">
        <v>43830</v>
      </c>
      <c r="B370" t="s">
        <v>10</v>
      </c>
      <c r="C370" t="s">
        <v>14</v>
      </c>
      <c r="D370">
        <v>145539</v>
      </c>
      <c r="E370">
        <v>67491</v>
      </c>
      <c r="F370">
        <v>78048</v>
      </c>
      <c r="G370">
        <v>60030</v>
      </c>
      <c r="H370">
        <v>706047</v>
      </c>
      <c r="I370">
        <v>426032</v>
      </c>
      <c r="J370">
        <v>280015</v>
      </c>
    </row>
    <row r="371" spans="1:10" x14ac:dyDescent="0.25">
      <c r="A371" s="1">
        <v>43830</v>
      </c>
      <c r="B371" t="s">
        <v>10</v>
      </c>
      <c r="C371" t="s">
        <v>15</v>
      </c>
      <c r="D371">
        <v>173609</v>
      </c>
      <c r="E371">
        <v>69077</v>
      </c>
      <c r="F371">
        <v>104532</v>
      </c>
      <c r="G371">
        <v>96780</v>
      </c>
      <c r="H371">
        <v>453973</v>
      </c>
      <c r="I371">
        <v>383097</v>
      </c>
      <c r="J371">
        <v>70876</v>
      </c>
    </row>
    <row r="372" spans="1:10" x14ac:dyDescent="0.25">
      <c r="A372" s="1">
        <v>43830</v>
      </c>
      <c r="B372" t="s">
        <v>10</v>
      </c>
      <c r="C372" t="s">
        <v>16</v>
      </c>
      <c r="D372">
        <v>176919</v>
      </c>
      <c r="E372">
        <v>127889</v>
      </c>
      <c r="F372">
        <v>49030</v>
      </c>
      <c r="G372">
        <v>36593</v>
      </c>
      <c r="H372">
        <v>630783</v>
      </c>
      <c r="I372">
        <v>215374</v>
      </c>
      <c r="J372">
        <v>415409</v>
      </c>
    </row>
    <row r="373" spans="1:10" x14ac:dyDescent="0.25">
      <c r="A373" s="1">
        <v>43830</v>
      </c>
      <c r="B373" t="s">
        <v>10</v>
      </c>
      <c r="C373" t="s">
        <v>17</v>
      </c>
      <c r="D373">
        <v>124860</v>
      </c>
      <c r="E373">
        <v>81195</v>
      </c>
      <c r="F373">
        <v>43665</v>
      </c>
      <c r="G373">
        <v>26726</v>
      </c>
      <c r="H373">
        <v>684090</v>
      </c>
      <c r="I373">
        <v>776787</v>
      </c>
      <c r="J373">
        <v>-92697</v>
      </c>
    </row>
    <row r="374" spans="1:10" x14ac:dyDescent="0.25">
      <c r="A374" s="1">
        <v>43830</v>
      </c>
      <c r="B374" t="s">
        <v>11</v>
      </c>
      <c r="C374" t="s">
        <v>14</v>
      </c>
      <c r="D374">
        <v>127083</v>
      </c>
      <c r="E374">
        <v>147046</v>
      </c>
      <c r="F374">
        <v>-19963</v>
      </c>
      <c r="G374">
        <v>-33183</v>
      </c>
      <c r="H374">
        <v>848074</v>
      </c>
      <c r="I374">
        <v>632101</v>
      </c>
      <c r="J374">
        <v>215973</v>
      </c>
    </row>
    <row r="375" spans="1:10" x14ac:dyDescent="0.25">
      <c r="A375" s="1">
        <v>43830</v>
      </c>
      <c r="B375" t="s">
        <v>11</v>
      </c>
      <c r="C375" t="s">
        <v>15</v>
      </c>
      <c r="D375">
        <v>131598</v>
      </c>
      <c r="E375">
        <v>153106</v>
      </c>
      <c r="F375">
        <v>-21508</v>
      </c>
      <c r="G375">
        <v>-37206</v>
      </c>
      <c r="H375">
        <v>427286</v>
      </c>
      <c r="I375">
        <v>537785</v>
      </c>
      <c r="J375">
        <v>-110499</v>
      </c>
    </row>
    <row r="376" spans="1:10" x14ac:dyDescent="0.25">
      <c r="A376" s="1">
        <v>43830</v>
      </c>
      <c r="B376" t="s">
        <v>11</v>
      </c>
      <c r="C376" t="s">
        <v>16</v>
      </c>
      <c r="D376">
        <v>111745</v>
      </c>
      <c r="E376">
        <v>86029</v>
      </c>
      <c r="F376">
        <v>25716</v>
      </c>
      <c r="G376">
        <v>7691</v>
      </c>
      <c r="H376">
        <v>432732</v>
      </c>
      <c r="I376">
        <v>769648</v>
      </c>
      <c r="J376">
        <v>-336916</v>
      </c>
    </row>
    <row r="377" spans="1:10" x14ac:dyDescent="0.25">
      <c r="A377" s="1">
        <v>43830</v>
      </c>
      <c r="B377" t="s">
        <v>11</v>
      </c>
      <c r="C377" t="s">
        <v>17</v>
      </c>
      <c r="D377">
        <v>189186</v>
      </c>
      <c r="E377">
        <v>66540</v>
      </c>
      <c r="F377">
        <v>122646</v>
      </c>
      <c r="G377">
        <v>117608</v>
      </c>
      <c r="H377">
        <v>924238</v>
      </c>
      <c r="I377">
        <v>666134</v>
      </c>
      <c r="J377">
        <v>258104</v>
      </c>
    </row>
    <row r="378" spans="1:10" x14ac:dyDescent="0.25">
      <c r="A378" s="1">
        <v>43830</v>
      </c>
      <c r="B378" t="s">
        <v>12</v>
      </c>
      <c r="C378" t="s">
        <v>14</v>
      </c>
      <c r="D378">
        <v>175932</v>
      </c>
      <c r="E378">
        <v>77482</v>
      </c>
      <c r="F378">
        <v>98450</v>
      </c>
      <c r="G378">
        <v>86423</v>
      </c>
      <c r="H378">
        <v>644191</v>
      </c>
      <c r="I378">
        <v>553761</v>
      </c>
      <c r="J378">
        <v>90430</v>
      </c>
    </row>
    <row r="379" spans="1:10" x14ac:dyDescent="0.25">
      <c r="A379" s="1">
        <v>43830</v>
      </c>
      <c r="B379" t="s">
        <v>12</v>
      </c>
      <c r="C379" t="s">
        <v>15</v>
      </c>
      <c r="D379">
        <v>178797</v>
      </c>
      <c r="E379">
        <v>112307</v>
      </c>
      <c r="F379">
        <v>66490</v>
      </c>
      <c r="G379">
        <v>58397</v>
      </c>
      <c r="H379">
        <v>484186</v>
      </c>
      <c r="I379">
        <v>677218</v>
      </c>
      <c r="J379">
        <v>-193032</v>
      </c>
    </row>
    <row r="380" spans="1:10" x14ac:dyDescent="0.25">
      <c r="A380" s="1">
        <v>43830</v>
      </c>
      <c r="B380" t="s">
        <v>12</v>
      </c>
      <c r="C380" t="s">
        <v>16</v>
      </c>
      <c r="D380">
        <v>144413</v>
      </c>
      <c r="E380">
        <v>153623</v>
      </c>
      <c r="F380">
        <v>-9210</v>
      </c>
      <c r="G380">
        <v>-15198</v>
      </c>
      <c r="H380">
        <v>253268</v>
      </c>
      <c r="I380">
        <v>532430</v>
      </c>
      <c r="J380">
        <v>-279162</v>
      </c>
    </row>
    <row r="381" spans="1:10" x14ac:dyDescent="0.25">
      <c r="A381" s="1">
        <v>43830</v>
      </c>
      <c r="B381" t="s">
        <v>12</v>
      </c>
      <c r="C381" t="s">
        <v>17</v>
      </c>
      <c r="D381">
        <v>181871</v>
      </c>
      <c r="E381">
        <v>88602</v>
      </c>
      <c r="F381">
        <v>93269</v>
      </c>
      <c r="G381">
        <v>84090</v>
      </c>
      <c r="H381">
        <v>773189</v>
      </c>
      <c r="I381">
        <v>462130</v>
      </c>
      <c r="J381">
        <v>311059</v>
      </c>
    </row>
    <row r="382" spans="1:10" x14ac:dyDescent="0.25">
      <c r="A382" s="1">
        <v>43830</v>
      </c>
      <c r="B382" t="s">
        <v>13</v>
      </c>
      <c r="C382" t="s">
        <v>14</v>
      </c>
      <c r="D382">
        <v>163416</v>
      </c>
      <c r="E382">
        <v>92196</v>
      </c>
      <c r="F382">
        <v>71220</v>
      </c>
      <c r="G382">
        <v>52522</v>
      </c>
      <c r="H382">
        <v>992058</v>
      </c>
      <c r="I382">
        <v>762784</v>
      </c>
      <c r="J382">
        <v>229274</v>
      </c>
    </row>
    <row r="383" spans="1:10" x14ac:dyDescent="0.25">
      <c r="A383" s="1">
        <v>43830</v>
      </c>
      <c r="B383" t="s">
        <v>13</v>
      </c>
      <c r="C383" t="s">
        <v>15</v>
      </c>
      <c r="D383">
        <v>112857</v>
      </c>
      <c r="E383">
        <v>79982</v>
      </c>
      <c r="F383">
        <v>32875</v>
      </c>
      <c r="G383">
        <v>16450</v>
      </c>
      <c r="H383">
        <v>903650</v>
      </c>
      <c r="I383">
        <v>650719</v>
      </c>
      <c r="J383">
        <v>252931</v>
      </c>
    </row>
    <row r="384" spans="1:10" x14ac:dyDescent="0.25">
      <c r="A384" s="1">
        <v>43830</v>
      </c>
      <c r="B384" t="s">
        <v>13</v>
      </c>
      <c r="C384" t="s">
        <v>16</v>
      </c>
      <c r="D384">
        <v>184976</v>
      </c>
      <c r="E384">
        <v>142711</v>
      </c>
      <c r="F384">
        <v>42265</v>
      </c>
      <c r="G384">
        <v>27264</v>
      </c>
      <c r="H384">
        <v>631374</v>
      </c>
      <c r="I384">
        <v>516235</v>
      </c>
      <c r="J384">
        <v>115139</v>
      </c>
    </row>
    <row r="385" spans="1:10" x14ac:dyDescent="0.25">
      <c r="A385" s="1">
        <v>43830</v>
      </c>
      <c r="B385" t="s">
        <v>13</v>
      </c>
      <c r="C385" t="s">
        <v>17</v>
      </c>
      <c r="D385">
        <v>118639</v>
      </c>
      <c r="E385">
        <v>145530</v>
      </c>
      <c r="F385">
        <v>-26891</v>
      </c>
      <c r="G385">
        <v>-33498</v>
      </c>
      <c r="H385">
        <v>483707</v>
      </c>
      <c r="I385">
        <v>477816</v>
      </c>
      <c r="J385">
        <v>5891</v>
      </c>
    </row>
    <row r="386" spans="1:10" x14ac:dyDescent="0.25">
      <c r="A386" s="1">
        <v>43861</v>
      </c>
      <c r="B386" t="s">
        <v>10</v>
      </c>
      <c r="C386" t="s">
        <v>14</v>
      </c>
      <c r="D386">
        <v>105776</v>
      </c>
      <c r="E386">
        <v>96444</v>
      </c>
      <c r="F386">
        <v>9332</v>
      </c>
      <c r="G386">
        <v>952</v>
      </c>
      <c r="H386">
        <v>601927</v>
      </c>
      <c r="I386">
        <v>445114</v>
      </c>
      <c r="J386">
        <v>156813</v>
      </c>
    </row>
    <row r="387" spans="1:10" x14ac:dyDescent="0.25">
      <c r="A387" s="1">
        <v>43861</v>
      </c>
      <c r="B387" t="s">
        <v>10</v>
      </c>
      <c r="C387" t="s">
        <v>15</v>
      </c>
      <c r="D387">
        <v>185553</v>
      </c>
      <c r="E387">
        <v>90707</v>
      </c>
      <c r="F387">
        <v>94846</v>
      </c>
      <c r="G387">
        <v>83504</v>
      </c>
      <c r="H387">
        <v>917148</v>
      </c>
      <c r="I387">
        <v>707167</v>
      </c>
      <c r="J387">
        <v>209981</v>
      </c>
    </row>
    <row r="388" spans="1:10" x14ac:dyDescent="0.25">
      <c r="A388" s="1">
        <v>43861</v>
      </c>
      <c r="B388" t="s">
        <v>10</v>
      </c>
      <c r="C388" t="s">
        <v>16</v>
      </c>
      <c r="D388">
        <v>138827</v>
      </c>
      <c r="E388">
        <v>65655</v>
      </c>
      <c r="F388">
        <v>73172</v>
      </c>
      <c r="G388">
        <v>56081</v>
      </c>
      <c r="H388">
        <v>870611</v>
      </c>
      <c r="I388">
        <v>746701</v>
      </c>
      <c r="J388">
        <v>123910</v>
      </c>
    </row>
    <row r="389" spans="1:10" x14ac:dyDescent="0.25">
      <c r="A389" s="1">
        <v>43861</v>
      </c>
      <c r="B389" t="s">
        <v>10</v>
      </c>
      <c r="C389" t="s">
        <v>17</v>
      </c>
      <c r="D389">
        <v>100526</v>
      </c>
      <c r="E389">
        <v>128760</v>
      </c>
      <c r="F389">
        <v>-28234</v>
      </c>
      <c r="G389">
        <v>-43679</v>
      </c>
      <c r="H389">
        <v>984838</v>
      </c>
      <c r="I389">
        <v>652829</v>
      </c>
      <c r="J389">
        <v>332009</v>
      </c>
    </row>
    <row r="390" spans="1:10" x14ac:dyDescent="0.25">
      <c r="A390" s="1">
        <v>43861</v>
      </c>
      <c r="B390" t="s">
        <v>11</v>
      </c>
      <c r="C390" t="s">
        <v>14</v>
      </c>
      <c r="D390">
        <v>179083</v>
      </c>
      <c r="E390">
        <v>111027</v>
      </c>
      <c r="F390">
        <v>68056</v>
      </c>
      <c r="G390">
        <v>61293</v>
      </c>
      <c r="H390">
        <v>470856</v>
      </c>
      <c r="I390">
        <v>466245</v>
      </c>
      <c r="J390">
        <v>4611</v>
      </c>
    </row>
    <row r="391" spans="1:10" x14ac:dyDescent="0.25">
      <c r="A391" s="1">
        <v>43861</v>
      </c>
      <c r="B391" t="s">
        <v>11</v>
      </c>
      <c r="C391" t="s">
        <v>15</v>
      </c>
      <c r="D391">
        <v>165455</v>
      </c>
      <c r="E391">
        <v>134744</v>
      </c>
      <c r="F391">
        <v>30711</v>
      </c>
      <c r="G391">
        <v>18612</v>
      </c>
      <c r="H391">
        <v>854037</v>
      </c>
      <c r="I391">
        <v>706791</v>
      </c>
      <c r="J391">
        <v>147246</v>
      </c>
    </row>
    <row r="392" spans="1:10" x14ac:dyDescent="0.25">
      <c r="A392" s="1">
        <v>43861</v>
      </c>
      <c r="B392" t="s">
        <v>11</v>
      </c>
      <c r="C392" t="s">
        <v>16</v>
      </c>
      <c r="D392">
        <v>129759</v>
      </c>
      <c r="E392">
        <v>145708</v>
      </c>
      <c r="F392">
        <v>-15949</v>
      </c>
      <c r="G392">
        <v>-31909</v>
      </c>
      <c r="H392">
        <v>826759</v>
      </c>
      <c r="I392">
        <v>257661</v>
      </c>
      <c r="J392">
        <v>569098</v>
      </c>
    </row>
    <row r="393" spans="1:10" x14ac:dyDescent="0.25">
      <c r="A393" s="1">
        <v>43861</v>
      </c>
      <c r="B393" t="s">
        <v>11</v>
      </c>
      <c r="C393" t="s">
        <v>17</v>
      </c>
      <c r="D393">
        <v>130015</v>
      </c>
      <c r="E393">
        <v>89009</v>
      </c>
      <c r="F393">
        <v>41006</v>
      </c>
      <c r="G393">
        <v>34617</v>
      </c>
      <c r="H393">
        <v>588590</v>
      </c>
      <c r="I393">
        <v>781503</v>
      </c>
      <c r="J393">
        <v>-192913</v>
      </c>
    </row>
    <row r="394" spans="1:10" x14ac:dyDescent="0.25">
      <c r="A394" s="1">
        <v>43861</v>
      </c>
      <c r="B394" t="s">
        <v>12</v>
      </c>
      <c r="C394" t="s">
        <v>14</v>
      </c>
      <c r="D394">
        <v>106154</v>
      </c>
      <c r="E394">
        <v>81804</v>
      </c>
      <c r="F394">
        <v>24350</v>
      </c>
      <c r="G394">
        <v>10430</v>
      </c>
      <c r="H394">
        <v>264288</v>
      </c>
      <c r="I394">
        <v>151195</v>
      </c>
      <c r="J394">
        <v>113093</v>
      </c>
    </row>
    <row r="395" spans="1:10" x14ac:dyDescent="0.25">
      <c r="A395" s="1">
        <v>43861</v>
      </c>
      <c r="B395" t="s">
        <v>12</v>
      </c>
      <c r="C395" t="s">
        <v>15</v>
      </c>
      <c r="D395">
        <v>120581</v>
      </c>
      <c r="E395">
        <v>112648</v>
      </c>
      <c r="F395">
        <v>7933</v>
      </c>
      <c r="G395">
        <v>-10770</v>
      </c>
      <c r="H395">
        <v>905290</v>
      </c>
      <c r="I395">
        <v>264053</v>
      </c>
      <c r="J395">
        <v>641237</v>
      </c>
    </row>
    <row r="396" spans="1:10" x14ac:dyDescent="0.25">
      <c r="A396" s="1">
        <v>43861</v>
      </c>
      <c r="B396" t="s">
        <v>12</v>
      </c>
      <c r="C396" t="s">
        <v>16</v>
      </c>
      <c r="D396">
        <v>169298</v>
      </c>
      <c r="E396">
        <v>106167</v>
      </c>
      <c r="F396">
        <v>63131</v>
      </c>
      <c r="G396">
        <v>48363</v>
      </c>
      <c r="H396">
        <v>636624</v>
      </c>
      <c r="I396">
        <v>139499</v>
      </c>
      <c r="J396">
        <v>497125</v>
      </c>
    </row>
    <row r="397" spans="1:10" x14ac:dyDescent="0.25">
      <c r="A397" s="1">
        <v>43861</v>
      </c>
      <c r="B397" t="s">
        <v>12</v>
      </c>
      <c r="C397" t="s">
        <v>17</v>
      </c>
      <c r="D397">
        <v>152269</v>
      </c>
      <c r="E397">
        <v>98559</v>
      </c>
      <c r="F397">
        <v>53710</v>
      </c>
      <c r="G397">
        <v>39927</v>
      </c>
      <c r="H397">
        <v>967285</v>
      </c>
      <c r="I397">
        <v>720635</v>
      </c>
      <c r="J397">
        <v>246650</v>
      </c>
    </row>
    <row r="398" spans="1:10" x14ac:dyDescent="0.25">
      <c r="A398" s="1">
        <v>43861</v>
      </c>
      <c r="B398" t="s">
        <v>13</v>
      </c>
      <c r="C398" t="s">
        <v>14</v>
      </c>
      <c r="D398">
        <v>148787</v>
      </c>
      <c r="E398">
        <v>95488</v>
      </c>
      <c r="F398">
        <v>53299</v>
      </c>
      <c r="G398">
        <v>39394</v>
      </c>
      <c r="H398">
        <v>930023</v>
      </c>
      <c r="I398">
        <v>122431</v>
      </c>
      <c r="J398">
        <v>807592</v>
      </c>
    </row>
    <row r="399" spans="1:10" x14ac:dyDescent="0.25">
      <c r="A399" s="1">
        <v>43861</v>
      </c>
      <c r="B399" t="s">
        <v>13</v>
      </c>
      <c r="C399" t="s">
        <v>15</v>
      </c>
      <c r="D399">
        <v>161681</v>
      </c>
      <c r="E399">
        <v>123483</v>
      </c>
      <c r="F399">
        <v>38198</v>
      </c>
      <c r="G399">
        <v>25166</v>
      </c>
      <c r="H399">
        <v>773441</v>
      </c>
      <c r="I399">
        <v>368512</v>
      </c>
      <c r="J399">
        <v>404929</v>
      </c>
    </row>
    <row r="400" spans="1:10" x14ac:dyDescent="0.25">
      <c r="A400" s="1">
        <v>43861</v>
      </c>
      <c r="B400" t="s">
        <v>13</v>
      </c>
      <c r="C400" t="s">
        <v>16</v>
      </c>
      <c r="D400">
        <v>127424</v>
      </c>
      <c r="E400">
        <v>105004</v>
      </c>
      <c r="F400">
        <v>22420</v>
      </c>
      <c r="G400">
        <v>15471</v>
      </c>
      <c r="H400">
        <v>419724</v>
      </c>
      <c r="I400">
        <v>681273</v>
      </c>
      <c r="J400">
        <v>-261549</v>
      </c>
    </row>
    <row r="401" spans="1:10" x14ac:dyDescent="0.25">
      <c r="A401" s="1">
        <v>43861</v>
      </c>
      <c r="B401" t="s">
        <v>13</v>
      </c>
      <c r="C401" t="s">
        <v>17</v>
      </c>
      <c r="D401">
        <v>150069</v>
      </c>
      <c r="E401">
        <v>112326</v>
      </c>
      <c r="F401">
        <v>37743</v>
      </c>
      <c r="G401">
        <v>22310</v>
      </c>
      <c r="H401">
        <v>936421</v>
      </c>
      <c r="I401">
        <v>778758</v>
      </c>
      <c r="J401">
        <v>157663</v>
      </c>
    </row>
    <row r="402" spans="1:10" x14ac:dyDescent="0.25">
      <c r="A402" s="1">
        <v>43890</v>
      </c>
      <c r="B402" t="s">
        <v>10</v>
      </c>
      <c r="C402" t="s">
        <v>14</v>
      </c>
      <c r="D402">
        <v>198393</v>
      </c>
      <c r="E402">
        <v>110861</v>
      </c>
      <c r="F402">
        <v>87532</v>
      </c>
      <c r="G402">
        <v>72171</v>
      </c>
      <c r="H402">
        <v>412977</v>
      </c>
      <c r="I402">
        <v>751406</v>
      </c>
      <c r="J402">
        <v>-338429</v>
      </c>
    </row>
    <row r="403" spans="1:10" x14ac:dyDescent="0.25">
      <c r="A403" s="1">
        <v>43890</v>
      </c>
      <c r="B403" t="s">
        <v>10</v>
      </c>
      <c r="C403" t="s">
        <v>15</v>
      </c>
      <c r="D403">
        <v>168577</v>
      </c>
      <c r="E403">
        <v>125641</v>
      </c>
      <c r="F403">
        <v>42936</v>
      </c>
      <c r="G403">
        <v>28858</v>
      </c>
      <c r="H403">
        <v>524912</v>
      </c>
      <c r="I403">
        <v>675335</v>
      </c>
      <c r="J403">
        <v>-150423</v>
      </c>
    </row>
    <row r="404" spans="1:10" x14ac:dyDescent="0.25">
      <c r="A404" s="1">
        <v>43890</v>
      </c>
      <c r="B404" t="s">
        <v>10</v>
      </c>
      <c r="C404" t="s">
        <v>16</v>
      </c>
      <c r="D404">
        <v>171626</v>
      </c>
      <c r="E404">
        <v>117660</v>
      </c>
      <c r="F404">
        <v>53966</v>
      </c>
      <c r="G404">
        <v>42884</v>
      </c>
      <c r="H404">
        <v>595141</v>
      </c>
      <c r="I404">
        <v>315048</v>
      </c>
      <c r="J404">
        <v>280093</v>
      </c>
    </row>
    <row r="405" spans="1:10" x14ac:dyDescent="0.25">
      <c r="A405" s="1">
        <v>43890</v>
      </c>
      <c r="B405" t="s">
        <v>10</v>
      </c>
      <c r="C405" t="s">
        <v>17</v>
      </c>
      <c r="D405">
        <v>126015</v>
      </c>
      <c r="E405">
        <v>93320</v>
      </c>
      <c r="F405">
        <v>32695</v>
      </c>
      <c r="G405">
        <v>18788</v>
      </c>
      <c r="H405">
        <v>713287</v>
      </c>
      <c r="I405">
        <v>464359</v>
      </c>
      <c r="J405">
        <v>248928</v>
      </c>
    </row>
    <row r="406" spans="1:10" x14ac:dyDescent="0.25">
      <c r="A406" s="1">
        <v>43890</v>
      </c>
      <c r="B406" t="s">
        <v>11</v>
      </c>
      <c r="C406" t="s">
        <v>14</v>
      </c>
      <c r="D406">
        <v>126289</v>
      </c>
      <c r="E406">
        <v>63389</v>
      </c>
      <c r="F406">
        <v>62900</v>
      </c>
      <c r="G406">
        <v>48601</v>
      </c>
      <c r="H406">
        <v>606845</v>
      </c>
      <c r="I406">
        <v>649114</v>
      </c>
      <c r="J406">
        <v>-42269</v>
      </c>
    </row>
    <row r="407" spans="1:10" x14ac:dyDescent="0.25">
      <c r="A407" s="1">
        <v>43890</v>
      </c>
      <c r="B407" t="s">
        <v>11</v>
      </c>
      <c r="C407" t="s">
        <v>15</v>
      </c>
      <c r="D407">
        <v>126630</v>
      </c>
      <c r="E407">
        <v>158762</v>
      </c>
      <c r="F407">
        <v>-32132</v>
      </c>
      <c r="G407">
        <v>-50527</v>
      </c>
      <c r="H407">
        <v>298511</v>
      </c>
      <c r="I407">
        <v>373797</v>
      </c>
      <c r="J407">
        <v>-75286</v>
      </c>
    </row>
    <row r="408" spans="1:10" x14ac:dyDescent="0.25">
      <c r="A408" s="1">
        <v>43890</v>
      </c>
      <c r="B408" t="s">
        <v>11</v>
      </c>
      <c r="C408" t="s">
        <v>16</v>
      </c>
      <c r="D408">
        <v>127961</v>
      </c>
      <c r="E408">
        <v>141941</v>
      </c>
      <c r="F408">
        <v>-13980</v>
      </c>
      <c r="G408">
        <v>-27581</v>
      </c>
      <c r="H408">
        <v>298818</v>
      </c>
      <c r="I408">
        <v>252360</v>
      </c>
      <c r="J408">
        <v>46458</v>
      </c>
    </row>
    <row r="409" spans="1:10" x14ac:dyDescent="0.25">
      <c r="A409" s="1">
        <v>43890</v>
      </c>
      <c r="B409" t="s">
        <v>11</v>
      </c>
      <c r="C409" t="s">
        <v>17</v>
      </c>
      <c r="D409">
        <v>195081</v>
      </c>
      <c r="E409">
        <v>96877</v>
      </c>
      <c r="F409">
        <v>98204</v>
      </c>
      <c r="G409">
        <v>79946</v>
      </c>
      <c r="H409">
        <v>411957</v>
      </c>
      <c r="I409">
        <v>172715</v>
      </c>
      <c r="J409">
        <v>239242</v>
      </c>
    </row>
    <row r="410" spans="1:10" x14ac:dyDescent="0.25">
      <c r="A410" s="1">
        <v>43890</v>
      </c>
      <c r="B410" t="s">
        <v>12</v>
      </c>
      <c r="C410" t="s">
        <v>14</v>
      </c>
      <c r="D410">
        <v>110326</v>
      </c>
      <c r="E410">
        <v>61560</v>
      </c>
      <c r="F410">
        <v>48766</v>
      </c>
      <c r="G410">
        <v>30154</v>
      </c>
      <c r="H410">
        <v>283186</v>
      </c>
      <c r="I410">
        <v>787250</v>
      </c>
      <c r="J410">
        <v>-504064</v>
      </c>
    </row>
    <row r="411" spans="1:10" x14ac:dyDescent="0.25">
      <c r="A411" s="1">
        <v>43890</v>
      </c>
      <c r="B411" t="s">
        <v>12</v>
      </c>
      <c r="C411" t="s">
        <v>15</v>
      </c>
      <c r="D411">
        <v>120022</v>
      </c>
      <c r="E411">
        <v>112579</v>
      </c>
      <c r="F411">
        <v>7443</v>
      </c>
      <c r="G411">
        <v>-2337</v>
      </c>
      <c r="H411">
        <v>228380</v>
      </c>
      <c r="I411">
        <v>734486</v>
      </c>
      <c r="J411">
        <v>-506106</v>
      </c>
    </row>
    <row r="412" spans="1:10" x14ac:dyDescent="0.25">
      <c r="A412" s="1">
        <v>43890</v>
      </c>
      <c r="B412" t="s">
        <v>12</v>
      </c>
      <c r="C412" t="s">
        <v>16</v>
      </c>
      <c r="D412">
        <v>102356</v>
      </c>
      <c r="E412">
        <v>130326</v>
      </c>
      <c r="F412">
        <v>-27970</v>
      </c>
      <c r="G412">
        <v>-43497</v>
      </c>
      <c r="H412">
        <v>839282</v>
      </c>
      <c r="I412">
        <v>320971</v>
      </c>
      <c r="J412">
        <v>518311</v>
      </c>
    </row>
    <row r="413" spans="1:10" x14ac:dyDescent="0.25">
      <c r="A413" s="1">
        <v>43890</v>
      </c>
      <c r="B413" t="s">
        <v>12</v>
      </c>
      <c r="C413" t="s">
        <v>17</v>
      </c>
      <c r="D413">
        <v>120049</v>
      </c>
      <c r="E413">
        <v>135717</v>
      </c>
      <c r="F413">
        <v>-15668</v>
      </c>
      <c r="G413">
        <v>-27725</v>
      </c>
      <c r="H413">
        <v>987093</v>
      </c>
      <c r="I413">
        <v>268484</v>
      </c>
      <c r="J413">
        <v>718609</v>
      </c>
    </row>
    <row r="414" spans="1:10" x14ac:dyDescent="0.25">
      <c r="A414" s="1">
        <v>43890</v>
      </c>
      <c r="B414" t="s">
        <v>13</v>
      </c>
      <c r="C414" t="s">
        <v>14</v>
      </c>
      <c r="D414">
        <v>102920</v>
      </c>
      <c r="E414">
        <v>151194</v>
      </c>
      <c r="F414">
        <v>-48274</v>
      </c>
      <c r="G414">
        <v>-64437</v>
      </c>
      <c r="H414">
        <v>541705</v>
      </c>
      <c r="I414">
        <v>325314</v>
      </c>
      <c r="J414">
        <v>216391</v>
      </c>
    </row>
    <row r="415" spans="1:10" x14ac:dyDescent="0.25">
      <c r="A415" s="1">
        <v>43890</v>
      </c>
      <c r="B415" t="s">
        <v>13</v>
      </c>
      <c r="C415" t="s">
        <v>15</v>
      </c>
      <c r="D415">
        <v>145500</v>
      </c>
      <c r="E415">
        <v>76309</v>
      </c>
      <c r="F415">
        <v>69191</v>
      </c>
      <c r="G415">
        <v>58113</v>
      </c>
      <c r="H415">
        <v>691872</v>
      </c>
      <c r="I415">
        <v>616998</v>
      </c>
      <c r="J415">
        <v>74874</v>
      </c>
    </row>
    <row r="416" spans="1:10" x14ac:dyDescent="0.25">
      <c r="A416" s="1">
        <v>43890</v>
      </c>
      <c r="B416" t="s">
        <v>13</v>
      </c>
      <c r="C416" t="s">
        <v>16</v>
      </c>
      <c r="D416">
        <v>130027</v>
      </c>
      <c r="E416">
        <v>132541</v>
      </c>
      <c r="F416">
        <v>-2514</v>
      </c>
      <c r="G416">
        <v>-21550</v>
      </c>
      <c r="H416">
        <v>708062</v>
      </c>
      <c r="I416">
        <v>683609</v>
      </c>
      <c r="J416">
        <v>24453</v>
      </c>
    </row>
    <row r="417" spans="1:10" x14ac:dyDescent="0.25">
      <c r="A417" s="1">
        <v>43890</v>
      </c>
      <c r="B417" t="s">
        <v>13</v>
      </c>
      <c r="C417" t="s">
        <v>17</v>
      </c>
      <c r="D417">
        <v>100956</v>
      </c>
      <c r="E417">
        <v>134131</v>
      </c>
      <c r="F417">
        <v>-33175</v>
      </c>
      <c r="G417">
        <v>-50978</v>
      </c>
      <c r="H417">
        <v>826045</v>
      </c>
      <c r="I417">
        <v>532659</v>
      </c>
      <c r="J417">
        <v>293386</v>
      </c>
    </row>
    <row r="418" spans="1:10" x14ac:dyDescent="0.25">
      <c r="A418" s="1">
        <v>43921</v>
      </c>
      <c r="B418" t="s">
        <v>10</v>
      </c>
      <c r="C418" t="s">
        <v>14</v>
      </c>
      <c r="D418">
        <v>199259</v>
      </c>
      <c r="E418">
        <v>99063</v>
      </c>
      <c r="F418">
        <v>100196</v>
      </c>
      <c r="G418">
        <v>93484</v>
      </c>
      <c r="H418">
        <v>542962</v>
      </c>
      <c r="I418">
        <v>366847</v>
      </c>
      <c r="J418">
        <v>176115</v>
      </c>
    </row>
    <row r="419" spans="1:10" x14ac:dyDescent="0.25">
      <c r="A419" s="1">
        <v>43921</v>
      </c>
      <c r="B419" t="s">
        <v>10</v>
      </c>
      <c r="C419" t="s">
        <v>15</v>
      </c>
      <c r="D419">
        <v>165128</v>
      </c>
      <c r="E419">
        <v>132099</v>
      </c>
      <c r="F419">
        <v>33029</v>
      </c>
      <c r="G419">
        <v>18564</v>
      </c>
      <c r="H419">
        <v>887220</v>
      </c>
      <c r="I419">
        <v>131585</v>
      </c>
      <c r="J419">
        <v>755635</v>
      </c>
    </row>
    <row r="420" spans="1:10" x14ac:dyDescent="0.25">
      <c r="A420" s="1">
        <v>43921</v>
      </c>
      <c r="B420" t="s">
        <v>10</v>
      </c>
      <c r="C420" t="s">
        <v>16</v>
      </c>
      <c r="D420">
        <v>122015</v>
      </c>
      <c r="E420">
        <v>137539</v>
      </c>
      <c r="F420">
        <v>-15524</v>
      </c>
      <c r="G420">
        <v>-31341</v>
      </c>
      <c r="H420">
        <v>489102</v>
      </c>
      <c r="I420">
        <v>388161</v>
      </c>
      <c r="J420">
        <v>100941</v>
      </c>
    </row>
    <row r="421" spans="1:10" x14ac:dyDescent="0.25">
      <c r="A421" s="1">
        <v>43921</v>
      </c>
      <c r="B421" t="s">
        <v>10</v>
      </c>
      <c r="C421" t="s">
        <v>17</v>
      </c>
      <c r="D421">
        <v>176707</v>
      </c>
      <c r="E421">
        <v>105350</v>
      </c>
      <c r="F421">
        <v>71357</v>
      </c>
      <c r="G421">
        <v>54156</v>
      </c>
      <c r="H421">
        <v>479922</v>
      </c>
      <c r="I421">
        <v>142229</v>
      </c>
      <c r="J421">
        <v>337693</v>
      </c>
    </row>
    <row r="422" spans="1:10" x14ac:dyDescent="0.25">
      <c r="A422" s="1">
        <v>43921</v>
      </c>
      <c r="B422" t="s">
        <v>11</v>
      </c>
      <c r="C422" t="s">
        <v>14</v>
      </c>
      <c r="D422">
        <v>186652</v>
      </c>
      <c r="E422">
        <v>108364</v>
      </c>
      <c r="F422">
        <v>78288</v>
      </c>
      <c r="G422">
        <v>72759</v>
      </c>
      <c r="H422">
        <v>460116</v>
      </c>
      <c r="I422">
        <v>620985</v>
      </c>
      <c r="J422">
        <v>-160869</v>
      </c>
    </row>
    <row r="423" spans="1:10" x14ac:dyDescent="0.25">
      <c r="A423" s="1">
        <v>43921</v>
      </c>
      <c r="B423" t="s">
        <v>11</v>
      </c>
      <c r="C423" t="s">
        <v>15</v>
      </c>
      <c r="D423">
        <v>119975</v>
      </c>
      <c r="E423">
        <v>86723</v>
      </c>
      <c r="F423">
        <v>33252</v>
      </c>
      <c r="G423">
        <v>21357</v>
      </c>
      <c r="H423">
        <v>409373</v>
      </c>
      <c r="I423">
        <v>297133</v>
      </c>
      <c r="J423">
        <v>112240</v>
      </c>
    </row>
    <row r="424" spans="1:10" x14ac:dyDescent="0.25">
      <c r="A424" s="1">
        <v>43921</v>
      </c>
      <c r="B424" t="s">
        <v>11</v>
      </c>
      <c r="C424" t="s">
        <v>16</v>
      </c>
      <c r="D424">
        <v>188397</v>
      </c>
      <c r="E424">
        <v>109153</v>
      </c>
      <c r="F424">
        <v>79244</v>
      </c>
      <c r="G424">
        <v>73870</v>
      </c>
      <c r="H424">
        <v>788612</v>
      </c>
      <c r="I424">
        <v>276037</v>
      </c>
      <c r="J424">
        <v>512575</v>
      </c>
    </row>
    <row r="425" spans="1:10" x14ac:dyDescent="0.25">
      <c r="A425" s="1">
        <v>43921</v>
      </c>
      <c r="B425" t="s">
        <v>11</v>
      </c>
      <c r="C425" t="s">
        <v>17</v>
      </c>
      <c r="D425">
        <v>104648</v>
      </c>
      <c r="E425">
        <v>95133</v>
      </c>
      <c r="F425">
        <v>9515</v>
      </c>
      <c r="G425">
        <v>2990</v>
      </c>
      <c r="H425">
        <v>820347</v>
      </c>
      <c r="I425">
        <v>722605</v>
      </c>
      <c r="J425">
        <v>97742</v>
      </c>
    </row>
    <row r="426" spans="1:10" x14ac:dyDescent="0.25">
      <c r="A426" s="1">
        <v>43921</v>
      </c>
      <c r="B426" t="s">
        <v>12</v>
      </c>
      <c r="C426" t="s">
        <v>14</v>
      </c>
      <c r="D426">
        <v>170135</v>
      </c>
      <c r="E426">
        <v>95046</v>
      </c>
      <c r="F426">
        <v>75089</v>
      </c>
      <c r="G426">
        <v>55793</v>
      </c>
      <c r="H426">
        <v>301459</v>
      </c>
      <c r="I426">
        <v>300422</v>
      </c>
      <c r="J426">
        <v>1037</v>
      </c>
    </row>
    <row r="427" spans="1:10" x14ac:dyDescent="0.25">
      <c r="A427" s="1">
        <v>43921</v>
      </c>
      <c r="B427" t="s">
        <v>12</v>
      </c>
      <c r="C427" t="s">
        <v>15</v>
      </c>
      <c r="D427">
        <v>145893</v>
      </c>
      <c r="E427">
        <v>121272</v>
      </c>
      <c r="F427">
        <v>24621</v>
      </c>
      <c r="G427">
        <v>9389</v>
      </c>
      <c r="H427">
        <v>716123</v>
      </c>
      <c r="I427">
        <v>429793</v>
      </c>
      <c r="J427">
        <v>286330</v>
      </c>
    </row>
    <row r="428" spans="1:10" x14ac:dyDescent="0.25">
      <c r="A428" s="1">
        <v>43921</v>
      </c>
      <c r="B428" t="s">
        <v>12</v>
      </c>
      <c r="C428" t="s">
        <v>16</v>
      </c>
      <c r="D428">
        <v>164674</v>
      </c>
      <c r="E428">
        <v>73760</v>
      </c>
      <c r="F428">
        <v>90914</v>
      </c>
      <c r="G428">
        <v>80371</v>
      </c>
      <c r="H428">
        <v>548619</v>
      </c>
      <c r="I428">
        <v>161367</v>
      </c>
      <c r="J428">
        <v>387252</v>
      </c>
    </row>
    <row r="429" spans="1:10" x14ac:dyDescent="0.25">
      <c r="A429" s="1">
        <v>43921</v>
      </c>
      <c r="B429" t="s">
        <v>12</v>
      </c>
      <c r="C429" t="s">
        <v>17</v>
      </c>
      <c r="D429">
        <v>197955</v>
      </c>
      <c r="E429">
        <v>72588</v>
      </c>
      <c r="F429">
        <v>125367</v>
      </c>
      <c r="G429">
        <v>113305</v>
      </c>
      <c r="H429">
        <v>957038</v>
      </c>
      <c r="I429">
        <v>335806</v>
      </c>
      <c r="J429">
        <v>621232</v>
      </c>
    </row>
    <row r="430" spans="1:10" x14ac:dyDescent="0.25">
      <c r="A430" s="1">
        <v>43921</v>
      </c>
      <c r="B430" t="s">
        <v>13</v>
      </c>
      <c r="C430" t="s">
        <v>14</v>
      </c>
      <c r="D430">
        <v>152233</v>
      </c>
      <c r="E430">
        <v>104738</v>
      </c>
      <c r="F430">
        <v>47495</v>
      </c>
      <c r="G430">
        <v>41866</v>
      </c>
      <c r="H430">
        <v>544333</v>
      </c>
      <c r="I430">
        <v>438511</v>
      </c>
      <c r="J430">
        <v>105822</v>
      </c>
    </row>
    <row r="431" spans="1:10" x14ac:dyDescent="0.25">
      <c r="A431" s="1">
        <v>43921</v>
      </c>
      <c r="B431" t="s">
        <v>13</v>
      </c>
      <c r="C431" t="s">
        <v>15</v>
      </c>
      <c r="D431">
        <v>171260</v>
      </c>
      <c r="E431">
        <v>136619</v>
      </c>
      <c r="F431">
        <v>34641</v>
      </c>
      <c r="G431">
        <v>16492</v>
      </c>
      <c r="H431">
        <v>219816</v>
      </c>
      <c r="I431">
        <v>516715</v>
      </c>
      <c r="J431">
        <v>-296899</v>
      </c>
    </row>
    <row r="432" spans="1:10" x14ac:dyDescent="0.25">
      <c r="A432" s="1">
        <v>43921</v>
      </c>
      <c r="B432" t="s">
        <v>13</v>
      </c>
      <c r="C432" t="s">
        <v>16</v>
      </c>
      <c r="D432">
        <v>188576</v>
      </c>
      <c r="E432">
        <v>142495</v>
      </c>
      <c r="F432">
        <v>46081</v>
      </c>
      <c r="G432">
        <v>34052</v>
      </c>
      <c r="H432">
        <v>795923</v>
      </c>
      <c r="I432">
        <v>316184</v>
      </c>
      <c r="J432">
        <v>479739</v>
      </c>
    </row>
    <row r="433" spans="1:10" x14ac:dyDescent="0.25">
      <c r="A433" s="1">
        <v>43921</v>
      </c>
      <c r="B433" t="s">
        <v>13</v>
      </c>
      <c r="C433" t="s">
        <v>17</v>
      </c>
      <c r="D433">
        <v>135946</v>
      </c>
      <c r="E433">
        <v>115204</v>
      </c>
      <c r="F433">
        <v>20742</v>
      </c>
      <c r="G433">
        <v>13008</v>
      </c>
      <c r="H433">
        <v>477707</v>
      </c>
      <c r="I433">
        <v>192324</v>
      </c>
      <c r="J433">
        <v>285383</v>
      </c>
    </row>
    <row r="434" spans="1:10" x14ac:dyDescent="0.25">
      <c r="A434" s="1">
        <v>43951</v>
      </c>
      <c r="B434" t="s">
        <v>10</v>
      </c>
      <c r="C434" t="s">
        <v>14</v>
      </c>
      <c r="D434">
        <v>192464</v>
      </c>
      <c r="E434">
        <v>69847</v>
      </c>
      <c r="F434">
        <v>122617</v>
      </c>
      <c r="G434">
        <v>107846</v>
      </c>
      <c r="H434">
        <v>541815</v>
      </c>
      <c r="I434">
        <v>741179</v>
      </c>
      <c r="J434">
        <v>-199364</v>
      </c>
    </row>
    <row r="435" spans="1:10" x14ac:dyDescent="0.25">
      <c r="A435" s="1">
        <v>43951</v>
      </c>
      <c r="B435" t="s">
        <v>10</v>
      </c>
      <c r="C435" t="s">
        <v>15</v>
      </c>
      <c r="D435">
        <v>183310</v>
      </c>
      <c r="E435">
        <v>127278</v>
      </c>
      <c r="F435">
        <v>56032</v>
      </c>
      <c r="G435">
        <v>49107</v>
      </c>
      <c r="H435">
        <v>331691</v>
      </c>
      <c r="I435">
        <v>576410</v>
      </c>
      <c r="J435">
        <v>-244719</v>
      </c>
    </row>
    <row r="436" spans="1:10" x14ac:dyDescent="0.25">
      <c r="A436" s="1">
        <v>43951</v>
      </c>
      <c r="B436" t="s">
        <v>10</v>
      </c>
      <c r="C436" t="s">
        <v>16</v>
      </c>
      <c r="D436">
        <v>150108</v>
      </c>
      <c r="E436">
        <v>94707</v>
      </c>
      <c r="F436">
        <v>55401</v>
      </c>
      <c r="G436">
        <v>46448</v>
      </c>
      <c r="H436">
        <v>718477</v>
      </c>
      <c r="I436">
        <v>453299</v>
      </c>
      <c r="J436">
        <v>265178</v>
      </c>
    </row>
    <row r="437" spans="1:10" x14ac:dyDescent="0.25">
      <c r="A437" s="1">
        <v>43951</v>
      </c>
      <c r="B437" t="s">
        <v>10</v>
      </c>
      <c r="C437" t="s">
        <v>17</v>
      </c>
      <c r="D437">
        <v>100281</v>
      </c>
      <c r="E437">
        <v>87420</v>
      </c>
      <c r="F437">
        <v>12861</v>
      </c>
      <c r="G437">
        <v>1599</v>
      </c>
      <c r="H437">
        <v>594274</v>
      </c>
      <c r="I437">
        <v>317285</v>
      </c>
      <c r="J437">
        <v>276989</v>
      </c>
    </row>
    <row r="438" spans="1:10" x14ac:dyDescent="0.25">
      <c r="A438" s="1">
        <v>43951</v>
      </c>
      <c r="B438" t="s">
        <v>11</v>
      </c>
      <c r="C438" t="s">
        <v>14</v>
      </c>
      <c r="D438">
        <v>176260</v>
      </c>
      <c r="E438">
        <v>88404</v>
      </c>
      <c r="F438">
        <v>87856</v>
      </c>
      <c r="G438">
        <v>77678</v>
      </c>
      <c r="H438">
        <v>360928</v>
      </c>
      <c r="I438">
        <v>764560</v>
      </c>
      <c r="J438">
        <v>-403632</v>
      </c>
    </row>
    <row r="439" spans="1:10" x14ac:dyDescent="0.25">
      <c r="A439" s="1">
        <v>43951</v>
      </c>
      <c r="B439" t="s">
        <v>11</v>
      </c>
      <c r="C439" t="s">
        <v>15</v>
      </c>
      <c r="D439">
        <v>164178</v>
      </c>
      <c r="E439">
        <v>93997</v>
      </c>
      <c r="F439">
        <v>70181</v>
      </c>
      <c r="G439">
        <v>55954</v>
      </c>
      <c r="H439">
        <v>843561</v>
      </c>
      <c r="I439">
        <v>796595</v>
      </c>
      <c r="J439">
        <v>46966</v>
      </c>
    </row>
    <row r="440" spans="1:10" x14ac:dyDescent="0.25">
      <c r="A440" s="1">
        <v>43951</v>
      </c>
      <c r="B440" t="s">
        <v>11</v>
      </c>
      <c r="C440" t="s">
        <v>16</v>
      </c>
      <c r="D440">
        <v>135057</v>
      </c>
      <c r="E440">
        <v>61239</v>
      </c>
      <c r="F440">
        <v>73818</v>
      </c>
      <c r="G440">
        <v>63448</v>
      </c>
      <c r="H440">
        <v>445546</v>
      </c>
      <c r="I440">
        <v>296733</v>
      </c>
      <c r="J440">
        <v>148813</v>
      </c>
    </row>
    <row r="441" spans="1:10" x14ac:dyDescent="0.25">
      <c r="A441" s="1">
        <v>43951</v>
      </c>
      <c r="B441" t="s">
        <v>11</v>
      </c>
      <c r="C441" t="s">
        <v>17</v>
      </c>
      <c r="D441">
        <v>145272</v>
      </c>
      <c r="E441">
        <v>149393</v>
      </c>
      <c r="F441">
        <v>-4121</v>
      </c>
      <c r="G441">
        <v>-21181</v>
      </c>
      <c r="H441">
        <v>346470</v>
      </c>
      <c r="I441">
        <v>744318</v>
      </c>
      <c r="J441">
        <v>-397848</v>
      </c>
    </row>
    <row r="442" spans="1:10" x14ac:dyDescent="0.25">
      <c r="A442" s="1">
        <v>43951</v>
      </c>
      <c r="B442" t="s">
        <v>12</v>
      </c>
      <c r="C442" t="s">
        <v>14</v>
      </c>
      <c r="D442">
        <v>156503</v>
      </c>
      <c r="E442">
        <v>66638</v>
      </c>
      <c r="F442">
        <v>89865</v>
      </c>
      <c r="G442">
        <v>78295</v>
      </c>
      <c r="H442">
        <v>530929</v>
      </c>
      <c r="I442">
        <v>633398</v>
      </c>
      <c r="J442">
        <v>-102469</v>
      </c>
    </row>
    <row r="443" spans="1:10" x14ac:dyDescent="0.25">
      <c r="A443" s="1">
        <v>43951</v>
      </c>
      <c r="B443" t="s">
        <v>12</v>
      </c>
      <c r="C443" t="s">
        <v>15</v>
      </c>
      <c r="D443">
        <v>179141</v>
      </c>
      <c r="E443">
        <v>72115</v>
      </c>
      <c r="F443">
        <v>107026</v>
      </c>
      <c r="G443">
        <v>95732</v>
      </c>
      <c r="H443">
        <v>828349</v>
      </c>
      <c r="I443">
        <v>394700</v>
      </c>
      <c r="J443">
        <v>433649</v>
      </c>
    </row>
    <row r="444" spans="1:10" x14ac:dyDescent="0.25">
      <c r="A444" s="1">
        <v>43951</v>
      </c>
      <c r="B444" t="s">
        <v>12</v>
      </c>
      <c r="C444" t="s">
        <v>16</v>
      </c>
      <c r="D444">
        <v>178131</v>
      </c>
      <c r="E444">
        <v>61969</v>
      </c>
      <c r="F444">
        <v>116162</v>
      </c>
      <c r="G444">
        <v>100177</v>
      </c>
      <c r="H444">
        <v>597686</v>
      </c>
      <c r="I444">
        <v>221863</v>
      </c>
      <c r="J444">
        <v>375823</v>
      </c>
    </row>
    <row r="445" spans="1:10" x14ac:dyDescent="0.25">
      <c r="A445" s="1">
        <v>43951</v>
      </c>
      <c r="B445" t="s">
        <v>12</v>
      </c>
      <c r="C445" t="s">
        <v>17</v>
      </c>
      <c r="D445">
        <v>110225</v>
      </c>
      <c r="E445">
        <v>83196</v>
      </c>
      <c r="F445">
        <v>27029</v>
      </c>
      <c r="G445">
        <v>14510</v>
      </c>
      <c r="H445">
        <v>834965</v>
      </c>
      <c r="I445">
        <v>148320</v>
      </c>
      <c r="J445">
        <v>686645</v>
      </c>
    </row>
    <row r="446" spans="1:10" x14ac:dyDescent="0.25">
      <c r="A446" s="1">
        <v>43951</v>
      </c>
      <c r="B446" t="s">
        <v>13</v>
      </c>
      <c r="C446" t="s">
        <v>14</v>
      </c>
      <c r="D446">
        <v>147414</v>
      </c>
      <c r="E446">
        <v>75577</v>
      </c>
      <c r="F446">
        <v>71837</v>
      </c>
      <c r="G446">
        <v>56171</v>
      </c>
      <c r="H446">
        <v>812297</v>
      </c>
      <c r="I446">
        <v>548625</v>
      </c>
      <c r="J446">
        <v>263672</v>
      </c>
    </row>
    <row r="447" spans="1:10" x14ac:dyDescent="0.25">
      <c r="A447" s="1">
        <v>43951</v>
      </c>
      <c r="B447" t="s">
        <v>13</v>
      </c>
      <c r="C447" t="s">
        <v>15</v>
      </c>
      <c r="D447">
        <v>128625</v>
      </c>
      <c r="E447">
        <v>141040</v>
      </c>
      <c r="F447">
        <v>-12415</v>
      </c>
      <c r="G447">
        <v>-25120</v>
      </c>
      <c r="H447">
        <v>236487</v>
      </c>
      <c r="I447">
        <v>559054</v>
      </c>
      <c r="J447">
        <v>-322567</v>
      </c>
    </row>
    <row r="448" spans="1:10" x14ac:dyDescent="0.25">
      <c r="A448" s="1">
        <v>43951</v>
      </c>
      <c r="B448" t="s">
        <v>13</v>
      </c>
      <c r="C448" t="s">
        <v>16</v>
      </c>
      <c r="D448">
        <v>196999</v>
      </c>
      <c r="E448">
        <v>154795</v>
      </c>
      <c r="F448">
        <v>42204</v>
      </c>
      <c r="G448">
        <v>36218</v>
      </c>
      <c r="H448">
        <v>373895</v>
      </c>
      <c r="I448">
        <v>530424</v>
      </c>
      <c r="J448">
        <v>-156529</v>
      </c>
    </row>
    <row r="449" spans="1:10" x14ac:dyDescent="0.25">
      <c r="A449" s="1">
        <v>43951</v>
      </c>
      <c r="B449" t="s">
        <v>13</v>
      </c>
      <c r="C449" t="s">
        <v>17</v>
      </c>
      <c r="D449">
        <v>154061</v>
      </c>
      <c r="E449">
        <v>90659</v>
      </c>
      <c r="F449">
        <v>63402</v>
      </c>
      <c r="G449">
        <v>55330</v>
      </c>
      <c r="H449">
        <v>625106</v>
      </c>
      <c r="I449">
        <v>381652</v>
      </c>
      <c r="J449">
        <v>243454</v>
      </c>
    </row>
    <row r="450" spans="1:10" x14ac:dyDescent="0.25">
      <c r="A450" s="1">
        <v>43982</v>
      </c>
      <c r="B450" t="s">
        <v>10</v>
      </c>
      <c r="C450" t="s">
        <v>14</v>
      </c>
      <c r="D450">
        <v>142287</v>
      </c>
      <c r="E450">
        <v>138916</v>
      </c>
      <c r="F450">
        <v>3371</v>
      </c>
      <c r="G450">
        <v>-12229</v>
      </c>
      <c r="H450">
        <v>834457</v>
      </c>
      <c r="I450">
        <v>660347</v>
      </c>
      <c r="J450">
        <v>174110</v>
      </c>
    </row>
    <row r="451" spans="1:10" x14ac:dyDescent="0.25">
      <c r="A451" s="1">
        <v>43982</v>
      </c>
      <c r="B451" t="s">
        <v>10</v>
      </c>
      <c r="C451" t="s">
        <v>15</v>
      </c>
      <c r="D451">
        <v>169569</v>
      </c>
      <c r="E451">
        <v>77087</v>
      </c>
      <c r="F451">
        <v>92482</v>
      </c>
      <c r="G451">
        <v>79349</v>
      </c>
      <c r="H451">
        <v>729992</v>
      </c>
      <c r="I451">
        <v>735567</v>
      </c>
      <c r="J451">
        <v>-5575</v>
      </c>
    </row>
    <row r="452" spans="1:10" x14ac:dyDescent="0.25">
      <c r="A452" s="1">
        <v>43982</v>
      </c>
      <c r="B452" t="s">
        <v>10</v>
      </c>
      <c r="C452" t="s">
        <v>16</v>
      </c>
      <c r="D452">
        <v>172460</v>
      </c>
      <c r="E452">
        <v>87208</v>
      </c>
      <c r="F452">
        <v>85252</v>
      </c>
      <c r="G452">
        <v>76424</v>
      </c>
      <c r="H452">
        <v>722828</v>
      </c>
      <c r="I452">
        <v>578366</v>
      </c>
      <c r="J452">
        <v>144462</v>
      </c>
    </row>
    <row r="453" spans="1:10" x14ac:dyDescent="0.25">
      <c r="A453" s="1">
        <v>43982</v>
      </c>
      <c r="B453" t="s">
        <v>10</v>
      </c>
      <c r="C453" t="s">
        <v>17</v>
      </c>
      <c r="D453">
        <v>166024</v>
      </c>
      <c r="E453">
        <v>99882</v>
      </c>
      <c r="F453">
        <v>66142</v>
      </c>
      <c r="G453">
        <v>51603</v>
      </c>
      <c r="H453">
        <v>719777</v>
      </c>
      <c r="I453">
        <v>476188</v>
      </c>
      <c r="J453">
        <v>243589</v>
      </c>
    </row>
    <row r="454" spans="1:10" x14ac:dyDescent="0.25">
      <c r="A454" s="1">
        <v>43982</v>
      </c>
      <c r="B454" t="s">
        <v>11</v>
      </c>
      <c r="C454" t="s">
        <v>14</v>
      </c>
      <c r="D454">
        <v>129165</v>
      </c>
      <c r="E454">
        <v>127203</v>
      </c>
      <c r="F454">
        <v>1962</v>
      </c>
      <c r="G454">
        <v>-12867</v>
      </c>
      <c r="H454">
        <v>990546</v>
      </c>
      <c r="I454">
        <v>136321</v>
      </c>
      <c r="J454">
        <v>854225</v>
      </c>
    </row>
    <row r="455" spans="1:10" x14ac:dyDescent="0.25">
      <c r="A455" s="1">
        <v>43982</v>
      </c>
      <c r="B455" t="s">
        <v>11</v>
      </c>
      <c r="C455" t="s">
        <v>15</v>
      </c>
      <c r="D455">
        <v>173297</v>
      </c>
      <c r="E455">
        <v>156652</v>
      </c>
      <c r="F455">
        <v>16645</v>
      </c>
      <c r="G455">
        <v>10645</v>
      </c>
      <c r="H455">
        <v>445014</v>
      </c>
      <c r="I455">
        <v>256498</v>
      </c>
      <c r="J455">
        <v>188516</v>
      </c>
    </row>
    <row r="456" spans="1:10" x14ac:dyDescent="0.25">
      <c r="A456" s="1">
        <v>43982</v>
      </c>
      <c r="B456" t="s">
        <v>11</v>
      </c>
      <c r="C456" t="s">
        <v>16</v>
      </c>
      <c r="D456">
        <v>117772</v>
      </c>
      <c r="E456">
        <v>63712</v>
      </c>
      <c r="F456">
        <v>54060</v>
      </c>
      <c r="G456">
        <v>47693</v>
      </c>
      <c r="H456">
        <v>438389</v>
      </c>
      <c r="I456">
        <v>739430</v>
      </c>
      <c r="J456">
        <v>-301041</v>
      </c>
    </row>
    <row r="457" spans="1:10" x14ac:dyDescent="0.25">
      <c r="A457" s="1">
        <v>43982</v>
      </c>
      <c r="B457" t="s">
        <v>11</v>
      </c>
      <c r="C457" t="s">
        <v>17</v>
      </c>
      <c r="D457">
        <v>191736</v>
      </c>
      <c r="E457">
        <v>111924</v>
      </c>
      <c r="F457">
        <v>79812</v>
      </c>
      <c r="G457">
        <v>71086</v>
      </c>
      <c r="H457">
        <v>551296</v>
      </c>
      <c r="I457">
        <v>127723</v>
      </c>
      <c r="J457">
        <v>423573</v>
      </c>
    </row>
    <row r="458" spans="1:10" x14ac:dyDescent="0.25">
      <c r="A458" s="1">
        <v>43982</v>
      </c>
      <c r="B458" t="s">
        <v>12</v>
      </c>
      <c r="C458" t="s">
        <v>14</v>
      </c>
      <c r="D458">
        <v>109108</v>
      </c>
      <c r="E458">
        <v>137714</v>
      </c>
      <c r="F458">
        <v>-28606</v>
      </c>
      <c r="G458">
        <v>-36481</v>
      </c>
      <c r="H458">
        <v>886684</v>
      </c>
      <c r="I458">
        <v>314432</v>
      </c>
      <c r="J458">
        <v>572252</v>
      </c>
    </row>
    <row r="459" spans="1:10" x14ac:dyDescent="0.25">
      <c r="A459" s="1">
        <v>43982</v>
      </c>
      <c r="B459" t="s">
        <v>12</v>
      </c>
      <c r="C459" t="s">
        <v>15</v>
      </c>
      <c r="D459">
        <v>108927</v>
      </c>
      <c r="E459">
        <v>153680</v>
      </c>
      <c r="F459">
        <v>-44753</v>
      </c>
      <c r="G459">
        <v>-64379</v>
      </c>
      <c r="H459">
        <v>279973</v>
      </c>
      <c r="I459">
        <v>734122</v>
      </c>
      <c r="J459">
        <v>-454149</v>
      </c>
    </row>
    <row r="460" spans="1:10" x14ac:dyDescent="0.25">
      <c r="A460" s="1">
        <v>43982</v>
      </c>
      <c r="B460" t="s">
        <v>12</v>
      </c>
      <c r="C460" t="s">
        <v>16</v>
      </c>
      <c r="D460">
        <v>176743</v>
      </c>
      <c r="E460">
        <v>120233</v>
      </c>
      <c r="F460">
        <v>56510</v>
      </c>
      <c r="G460">
        <v>42357</v>
      </c>
      <c r="H460">
        <v>694509</v>
      </c>
      <c r="I460">
        <v>731810</v>
      </c>
      <c r="J460">
        <v>-37301</v>
      </c>
    </row>
    <row r="461" spans="1:10" x14ac:dyDescent="0.25">
      <c r="A461" s="1">
        <v>43982</v>
      </c>
      <c r="B461" t="s">
        <v>12</v>
      </c>
      <c r="C461" t="s">
        <v>17</v>
      </c>
      <c r="D461">
        <v>122612</v>
      </c>
      <c r="E461">
        <v>153977</v>
      </c>
      <c r="F461">
        <v>-31365</v>
      </c>
      <c r="G461">
        <v>-42836</v>
      </c>
      <c r="H461">
        <v>366703</v>
      </c>
      <c r="I461">
        <v>131348</v>
      </c>
      <c r="J461">
        <v>235355</v>
      </c>
    </row>
    <row r="462" spans="1:10" x14ac:dyDescent="0.25">
      <c r="A462" s="1">
        <v>43982</v>
      </c>
      <c r="B462" t="s">
        <v>13</v>
      </c>
      <c r="C462" t="s">
        <v>14</v>
      </c>
      <c r="D462">
        <v>164732</v>
      </c>
      <c r="E462">
        <v>61177</v>
      </c>
      <c r="F462">
        <v>103555</v>
      </c>
      <c r="G462">
        <v>93795</v>
      </c>
      <c r="H462">
        <v>494923</v>
      </c>
      <c r="I462">
        <v>383780</v>
      </c>
      <c r="J462">
        <v>111143</v>
      </c>
    </row>
    <row r="463" spans="1:10" x14ac:dyDescent="0.25">
      <c r="A463" s="1">
        <v>43982</v>
      </c>
      <c r="B463" t="s">
        <v>13</v>
      </c>
      <c r="C463" t="s">
        <v>15</v>
      </c>
      <c r="D463">
        <v>181889</v>
      </c>
      <c r="E463">
        <v>113551</v>
      </c>
      <c r="F463">
        <v>68338</v>
      </c>
      <c r="G463">
        <v>51782</v>
      </c>
      <c r="H463">
        <v>866923</v>
      </c>
      <c r="I463">
        <v>671107</v>
      </c>
      <c r="J463">
        <v>195816</v>
      </c>
    </row>
    <row r="464" spans="1:10" x14ac:dyDescent="0.25">
      <c r="A464" s="1">
        <v>43982</v>
      </c>
      <c r="B464" t="s">
        <v>13</v>
      </c>
      <c r="C464" t="s">
        <v>16</v>
      </c>
      <c r="D464">
        <v>173770</v>
      </c>
      <c r="E464">
        <v>151055</v>
      </c>
      <c r="F464">
        <v>22715</v>
      </c>
      <c r="G464">
        <v>7133</v>
      </c>
      <c r="H464">
        <v>412781</v>
      </c>
      <c r="I464">
        <v>553105</v>
      </c>
      <c r="J464">
        <v>-140324</v>
      </c>
    </row>
    <row r="465" spans="1:10" x14ac:dyDescent="0.25">
      <c r="A465" s="1">
        <v>43982</v>
      </c>
      <c r="B465" t="s">
        <v>13</v>
      </c>
      <c r="C465" t="s">
        <v>17</v>
      </c>
      <c r="D465">
        <v>126987</v>
      </c>
      <c r="E465">
        <v>138714</v>
      </c>
      <c r="F465">
        <v>-11727</v>
      </c>
      <c r="G465">
        <v>-23297</v>
      </c>
      <c r="H465">
        <v>913708</v>
      </c>
      <c r="I465">
        <v>648884</v>
      </c>
      <c r="J465">
        <v>264824</v>
      </c>
    </row>
    <row r="466" spans="1:10" x14ac:dyDescent="0.25">
      <c r="A466" s="1">
        <v>44012</v>
      </c>
      <c r="B466" t="s">
        <v>10</v>
      </c>
      <c r="C466" t="s">
        <v>14</v>
      </c>
      <c r="D466">
        <v>133174</v>
      </c>
      <c r="E466">
        <v>124106</v>
      </c>
      <c r="F466">
        <v>9068</v>
      </c>
      <c r="G466">
        <v>-5138</v>
      </c>
      <c r="H466">
        <v>259182</v>
      </c>
      <c r="I466">
        <v>449307</v>
      </c>
      <c r="J466">
        <v>-190125</v>
      </c>
    </row>
    <row r="467" spans="1:10" x14ac:dyDescent="0.25">
      <c r="A467" s="1">
        <v>44012</v>
      </c>
      <c r="B467" t="s">
        <v>10</v>
      </c>
      <c r="C467" t="s">
        <v>15</v>
      </c>
      <c r="D467">
        <v>139310</v>
      </c>
      <c r="E467">
        <v>116088</v>
      </c>
      <c r="F467">
        <v>23222</v>
      </c>
      <c r="G467">
        <v>4107</v>
      </c>
      <c r="H467">
        <v>339978</v>
      </c>
      <c r="I467">
        <v>669667</v>
      </c>
      <c r="J467">
        <v>-329689</v>
      </c>
    </row>
    <row r="468" spans="1:10" x14ac:dyDescent="0.25">
      <c r="A468" s="1">
        <v>44012</v>
      </c>
      <c r="B468" t="s">
        <v>10</v>
      </c>
      <c r="C468" t="s">
        <v>16</v>
      </c>
      <c r="D468">
        <v>178612</v>
      </c>
      <c r="E468">
        <v>97650</v>
      </c>
      <c r="F468">
        <v>80962</v>
      </c>
      <c r="G468">
        <v>61849</v>
      </c>
      <c r="H468">
        <v>508557</v>
      </c>
      <c r="I468">
        <v>237084</v>
      </c>
      <c r="J468">
        <v>271473</v>
      </c>
    </row>
    <row r="469" spans="1:10" x14ac:dyDescent="0.25">
      <c r="A469" s="1">
        <v>44012</v>
      </c>
      <c r="B469" t="s">
        <v>10</v>
      </c>
      <c r="C469" t="s">
        <v>17</v>
      </c>
      <c r="D469">
        <v>150115</v>
      </c>
      <c r="E469">
        <v>67151</v>
      </c>
      <c r="F469">
        <v>82964</v>
      </c>
      <c r="G469">
        <v>69400</v>
      </c>
      <c r="H469">
        <v>948013</v>
      </c>
      <c r="I469">
        <v>791738</v>
      </c>
      <c r="J469">
        <v>156275</v>
      </c>
    </row>
    <row r="470" spans="1:10" x14ac:dyDescent="0.25">
      <c r="A470" s="1">
        <v>44012</v>
      </c>
      <c r="B470" t="s">
        <v>11</v>
      </c>
      <c r="C470" t="s">
        <v>14</v>
      </c>
      <c r="D470">
        <v>142652</v>
      </c>
      <c r="E470">
        <v>132430</v>
      </c>
      <c r="F470">
        <v>10222</v>
      </c>
      <c r="G470">
        <v>-8245</v>
      </c>
      <c r="H470">
        <v>624226</v>
      </c>
      <c r="I470">
        <v>621863</v>
      </c>
      <c r="J470">
        <v>2363</v>
      </c>
    </row>
    <row r="471" spans="1:10" x14ac:dyDescent="0.25">
      <c r="A471" s="1">
        <v>44012</v>
      </c>
      <c r="B471" t="s">
        <v>11</v>
      </c>
      <c r="C471" t="s">
        <v>15</v>
      </c>
      <c r="D471">
        <v>154691</v>
      </c>
      <c r="E471">
        <v>124157</v>
      </c>
      <c r="F471">
        <v>30534</v>
      </c>
      <c r="G471">
        <v>15661</v>
      </c>
      <c r="H471">
        <v>212289</v>
      </c>
      <c r="I471">
        <v>798956</v>
      </c>
      <c r="J471">
        <v>-586667</v>
      </c>
    </row>
    <row r="472" spans="1:10" x14ac:dyDescent="0.25">
      <c r="A472" s="1">
        <v>44012</v>
      </c>
      <c r="B472" t="s">
        <v>11</v>
      </c>
      <c r="C472" t="s">
        <v>16</v>
      </c>
      <c r="D472">
        <v>123171</v>
      </c>
      <c r="E472">
        <v>146365</v>
      </c>
      <c r="F472">
        <v>-23194</v>
      </c>
      <c r="G472">
        <v>-31724</v>
      </c>
      <c r="H472">
        <v>954950</v>
      </c>
      <c r="I472">
        <v>275211</v>
      </c>
      <c r="J472">
        <v>679739</v>
      </c>
    </row>
    <row r="473" spans="1:10" x14ac:dyDescent="0.25">
      <c r="A473" s="1">
        <v>44012</v>
      </c>
      <c r="B473" t="s">
        <v>11</v>
      </c>
      <c r="C473" t="s">
        <v>17</v>
      </c>
      <c r="D473">
        <v>148713</v>
      </c>
      <c r="E473">
        <v>89734</v>
      </c>
      <c r="F473">
        <v>58979</v>
      </c>
      <c r="G473">
        <v>46927</v>
      </c>
      <c r="H473">
        <v>263646</v>
      </c>
      <c r="I473">
        <v>365798</v>
      </c>
      <c r="J473">
        <v>-102152</v>
      </c>
    </row>
    <row r="474" spans="1:10" x14ac:dyDescent="0.25">
      <c r="A474" s="1">
        <v>44012</v>
      </c>
      <c r="B474" t="s">
        <v>12</v>
      </c>
      <c r="C474" t="s">
        <v>14</v>
      </c>
      <c r="D474">
        <v>189022</v>
      </c>
      <c r="E474">
        <v>78743</v>
      </c>
      <c r="F474">
        <v>110279</v>
      </c>
      <c r="G474">
        <v>97174</v>
      </c>
      <c r="H474">
        <v>929532</v>
      </c>
      <c r="I474">
        <v>219735</v>
      </c>
      <c r="J474">
        <v>709797</v>
      </c>
    </row>
    <row r="475" spans="1:10" x14ac:dyDescent="0.25">
      <c r="A475" s="1">
        <v>44012</v>
      </c>
      <c r="B475" t="s">
        <v>12</v>
      </c>
      <c r="C475" t="s">
        <v>15</v>
      </c>
      <c r="D475">
        <v>124611</v>
      </c>
      <c r="E475">
        <v>72149</v>
      </c>
      <c r="F475">
        <v>52462</v>
      </c>
      <c r="G475">
        <v>45664</v>
      </c>
      <c r="H475">
        <v>521333</v>
      </c>
      <c r="I475">
        <v>666956</v>
      </c>
      <c r="J475">
        <v>-145623</v>
      </c>
    </row>
    <row r="476" spans="1:10" x14ac:dyDescent="0.25">
      <c r="A476" s="1">
        <v>44012</v>
      </c>
      <c r="B476" t="s">
        <v>12</v>
      </c>
      <c r="C476" t="s">
        <v>16</v>
      </c>
      <c r="D476">
        <v>113673</v>
      </c>
      <c r="E476">
        <v>136666</v>
      </c>
      <c r="F476">
        <v>-22993</v>
      </c>
      <c r="G476">
        <v>-34277</v>
      </c>
      <c r="H476">
        <v>411830</v>
      </c>
      <c r="I476">
        <v>296501</v>
      </c>
      <c r="J476">
        <v>115329</v>
      </c>
    </row>
    <row r="477" spans="1:10" x14ac:dyDescent="0.25">
      <c r="A477" s="1">
        <v>44012</v>
      </c>
      <c r="B477" t="s">
        <v>12</v>
      </c>
      <c r="C477" t="s">
        <v>17</v>
      </c>
      <c r="D477">
        <v>123669</v>
      </c>
      <c r="E477">
        <v>94068</v>
      </c>
      <c r="F477">
        <v>29601</v>
      </c>
      <c r="G477">
        <v>17732</v>
      </c>
      <c r="H477">
        <v>340507</v>
      </c>
      <c r="I477">
        <v>325160</v>
      </c>
      <c r="J477">
        <v>15347</v>
      </c>
    </row>
    <row r="478" spans="1:10" x14ac:dyDescent="0.25">
      <c r="A478" s="1">
        <v>44012</v>
      </c>
      <c r="B478" t="s">
        <v>13</v>
      </c>
      <c r="C478" t="s">
        <v>14</v>
      </c>
      <c r="D478">
        <v>152249</v>
      </c>
      <c r="E478">
        <v>97384</v>
      </c>
      <c r="F478">
        <v>54865</v>
      </c>
      <c r="G478">
        <v>35771</v>
      </c>
      <c r="H478">
        <v>806217</v>
      </c>
      <c r="I478">
        <v>700441</v>
      </c>
      <c r="J478">
        <v>105776</v>
      </c>
    </row>
    <row r="479" spans="1:10" x14ac:dyDescent="0.25">
      <c r="A479" s="1">
        <v>44012</v>
      </c>
      <c r="B479" t="s">
        <v>13</v>
      </c>
      <c r="C479" t="s">
        <v>15</v>
      </c>
      <c r="D479">
        <v>175388</v>
      </c>
      <c r="E479">
        <v>91401</v>
      </c>
      <c r="F479">
        <v>83987</v>
      </c>
      <c r="G479">
        <v>68164</v>
      </c>
      <c r="H479">
        <v>927191</v>
      </c>
      <c r="I479">
        <v>743791</v>
      </c>
      <c r="J479">
        <v>183400</v>
      </c>
    </row>
    <row r="480" spans="1:10" x14ac:dyDescent="0.25">
      <c r="A480" s="1">
        <v>44012</v>
      </c>
      <c r="B480" t="s">
        <v>13</v>
      </c>
      <c r="C480" t="s">
        <v>16</v>
      </c>
      <c r="D480">
        <v>134084</v>
      </c>
      <c r="E480">
        <v>115826</v>
      </c>
      <c r="F480">
        <v>18258</v>
      </c>
      <c r="G480">
        <v>9575</v>
      </c>
      <c r="H480">
        <v>862587</v>
      </c>
      <c r="I480">
        <v>262982</v>
      </c>
      <c r="J480">
        <v>599605</v>
      </c>
    </row>
    <row r="481" spans="1:10" x14ac:dyDescent="0.25">
      <c r="A481" s="1">
        <v>44012</v>
      </c>
      <c r="B481" t="s">
        <v>13</v>
      </c>
      <c r="C481" t="s">
        <v>17</v>
      </c>
      <c r="D481">
        <v>136041</v>
      </c>
      <c r="E481">
        <v>148920</v>
      </c>
      <c r="F481">
        <v>-12879</v>
      </c>
      <c r="G481">
        <v>-18024</v>
      </c>
      <c r="H481">
        <v>434386</v>
      </c>
      <c r="I481">
        <v>443715</v>
      </c>
      <c r="J481">
        <v>-9329</v>
      </c>
    </row>
    <row r="482" spans="1:10" x14ac:dyDescent="0.25">
      <c r="A482" s="1">
        <v>44043</v>
      </c>
      <c r="B482" t="s">
        <v>10</v>
      </c>
      <c r="C482" t="s">
        <v>14</v>
      </c>
      <c r="D482">
        <v>165481</v>
      </c>
      <c r="E482">
        <v>128576</v>
      </c>
      <c r="F482">
        <v>36905</v>
      </c>
      <c r="G482">
        <v>22251</v>
      </c>
      <c r="H482">
        <v>984625</v>
      </c>
      <c r="I482">
        <v>751844</v>
      </c>
      <c r="J482">
        <v>232781</v>
      </c>
    </row>
    <row r="483" spans="1:10" x14ac:dyDescent="0.25">
      <c r="A483" s="1">
        <v>44043</v>
      </c>
      <c r="B483" t="s">
        <v>10</v>
      </c>
      <c r="C483" t="s">
        <v>15</v>
      </c>
      <c r="D483">
        <v>164174</v>
      </c>
      <c r="E483">
        <v>86160</v>
      </c>
      <c r="F483">
        <v>78014</v>
      </c>
      <c r="G483">
        <v>72532</v>
      </c>
      <c r="H483">
        <v>711083</v>
      </c>
      <c r="I483">
        <v>117633</v>
      </c>
      <c r="J483">
        <v>593450</v>
      </c>
    </row>
    <row r="484" spans="1:10" x14ac:dyDescent="0.25">
      <c r="A484" s="1">
        <v>44043</v>
      </c>
      <c r="B484" t="s">
        <v>10</v>
      </c>
      <c r="C484" t="s">
        <v>16</v>
      </c>
      <c r="D484">
        <v>194880</v>
      </c>
      <c r="E484">
        <v>77014</v>
      </c>
      <c r="F484">
        <v>117866</v>
      </c>
      <c r="G484">
        <v>97870</v>
      </c>
      <c r="H484">
        <v>249104</v>
      </c>
      <c r="I484">
        <v>168388</v>
      </c>
      <c r="J484">
        <v>80716</v>
      </c>
    </row>
    <row r="485" spans="1:10" x14ac:dyDescent="0.25">
      <c r="A485" s="1">
        <v>44043</v>
      </c>
      <c r="B485" t="s">
        <v>10</v>
      </c>
      <c r="C485" t="s">
        <v>17</v>
      </c>
      <c r="D485">
        <v>116014</v>
      </c>
      <c r="E485">
        <v>152578</v>
      </c>
      <c r="F485">
        <v>-36564</v>
      </c>
      <c r="G485">
        <v>-42551</v>
      </c>
      <c r="H485">
        <v>764678</v>
      </c>
      <c r="I485">
        <v>385855</v>
      </c>
      <c r="J485">
        <v>378823</v>
      </c>
    </row>
    <row r="486" spans="1:10" x14ac:dyDescent="0.25">
      <c r="A486" s="1">
        <v>44043</v>
      </c>
      <c r="B486" t="s">
        <v>11</v>
      </c>
      <c r="C486" t="s">
        <v>14</v>
      </c>
      <c r="D486">
        <v>191658</v>
      </c>
      <c r="E486">
        <v>117993</v>
      </c>
      <c r="F486">
        <v>73665</v>
      </c>
      <c r="G486">
        <v>59505</v>
      </c>
      <c r="H486">
        <v>358285</v>
      </c>
      <c r="I486">
        <v>551000</v>
      </c>
      <c r="J486">
        <v>-192715</v>
      </c>
    </row>
    <row r="487" spans="1:10" x14ac:dyDescent="0.25">
      <c r="A487" s="1">
        <v>44043</v>
      </c>
      <c r="B487" t="s">
        <v>11</v>
      </c>
      <c r="C487" t="s">
        <v>15</v>
      </c>
      <c r="D487">
        <v>107421</v>
      </c>
      <c r="E487">
        <v>146936</v>
      </c>
      <c r="F487">
        <v>-39515</v>
      </c>
      <c r="G487">
        <v>-45284</v>
      </c>
      <c r="H487">
        <v>742015</v>
      </c>
      <c r="I487">
        <v>628646</v>
      </c>
      <c r="J487">
        <v>113369</v>
      </c>
    </row>
    <row r="488" spans="1:10" x14ac:dyDescent="0.25">
      <c r="A488" s="1">
        <v>44043</v>
      </c>
      <c r="B488" t="s">
        <v>11</v>
      </c>
      <c r="C488" t="s">
        <v>16</v>
      </c>
      <c r="D488">
        <v>165108</v>
      </c>
      <c r="E488">
        <v>154018</v>
      </c>
      <c r="F488">
        <v>11090</v>
      </c>
      <c r="G488">
        <v>-3679</v>
      </c>
      <c r="H488">
        <v>494054</v>
      </c>
      <c r="I488">
        <v>751176</v>
      </c>
      <c r="J488">
        <v>-257122</v>
      </c>
    </row>
    <row r="489" spans="1:10" x14ac:dyDescent="0.25">
      <c r="A489" s="1">
        <v>44043</v>
      </c>
      <c r="B489" t="s">
        <v>11</v>
      </c>
      <c r="C489" t="s">
        <v>17</v>
      </c>
      <c r="D489">
        <v>198032</v>
      </c>
      <c r="E489">
        <v>115754</v>
      </c>
      <c r="F489">
        <v>82278</v>
      </c>
      <c r="G489">
        <v>63992</v>
      </c>
      <c r="H489">
        <v>309847</v>
      </c>
      <c r="I489">
        <v>544717</v>
      </c>
      <c r="J489">
        <v>-234870</v>
      </c>
    </row>
    <row r="490" spans="1:10" x14ac:dyDescent="0.25">
      <c r="A490" s="1">
        <v>44043</v>
      </c>
      <c r="B490" t="s">
        <v>12</v>
      </c>
      <c r="C490" t="s">
        <v>14</v>
      </c>
      <c r="D490">
        <v>160946</v>
      </c>
      <c r="E490">
        <v>98467</v>
      </c>
      <c r="F490">
        <v>62479</v>
      </c>
      <c r="G490">
        <v>56238</v>
      </c>
      <c r="H490">
        <v>496037</v>
      </c>
      <c r="I490">
        <v>176329</v>
      </c>
      <c r="J490">
        <v>319708</v>
      </c>
    </row>
    <row r="491" spans="1:10" x14ac:dyDescent="0.25">
      <c r="A491" s="1">
        <v>44043</v>
      </c>
      <c r="B491" t="s">
        <v>12</v>
      </c>
      <c r="C491" t="s">
        <v>15</v>
      </c>
      <c r="D491">
        <v>131007</v>
      </c>
      <c r="E491">
        <v>151302</v>
      </c>
      <c r="F491">
        <v>-20295</v>
      </c>
      <c r="G491">
        <v>-32059</v>
      </c>
      <c r="H491">
        <v>516397</v>
      </c>
      <c r="I491">
        <v>112323</v>
      </c>
      <c r="J491">
        <v>404074</v>
      </c>
    </row>
    <row r="492" spans="1:10" x14ac:dyDescent="0.25">
      <c r="A492" s="1">
        <v>44043</v>
      </c>
      <c r="B492" t="s">
        <v>12</v>
      </c>
      <c r="C492" t="s">
        <v>16</v>
      </c>
      <c r="D492">
        <v>173379</v>
      </c>
      <c r="E492">
        <v>74210</v>
      </c>
      <c r="F492">
        <v>99169</v>
      </c>
      <c r="G492">
        <v>94097</v>
      </c>
      <c r="H492">
        <v>755655</v>
      </c>
      <c r="I492">
        <v>154624</v>
      </c>
      <c r="J492">
        <v>601031</v>
      </c>
    </row>
    <row r="493" spans="1:10" x14ac:dyDescent="0.25">
      <c r="A493" s="1">
        <v>44043</v>
      </c>
      <c r="B493" t="s">
        <v>12</v>
      </c>
      <c r="C493" t="s">
        <v>17</v>
      </c>
      <c r="D493">
        <v>110106</v>
      </c>
      <c r="E493">
        <v>128008</v>
      </c>
      <c r="F493">
        <v>-17902</v>
      </c>
      <c r="G493">
        <v>-34140</v>
      </c>
      <c r="H493">
        <v>577539</v>
      </c>
      <c r="I493">
        <v>216492</v>
      </c>
      <c r="J493">
        <v>361047</v>
      </c>
    </row>
    <row r="494" spans="1:10" x14ac:dyDescent="0.25">
      <c r="A494" s="1">
        <v>44043</v>
      </c>
      <c r="B494" t="s">
        <v>13</v>
      </c>
      <c r="C494" t="s">
        <v>14</v>
      </c>
      <c r="D494">
        <v>172240</v>
      </c>
      <c r="E494">
        <v>124315</v>
      </c>
      <c r="F494">
        <v>47925</v>
      </c>
      <c r="G494">
        <v>39212</v>
      </c>
      <c r="H494">
        <v>925947</v>
      </c>
      <c r="I494">
        <v>372900</v>
      </c>
      <c r="J494">
        <v>553047</v>
      </c>
    </row>
    <row r="495" spans="1:10" x14ac:dyDescent="0.25">
      <c r="A495" s="1">
        <v>44043</v>
      </c>
      <c r="B495" t="s">
        <v>13</v>
      </c>
      <c r="C495" t="s">
        <v>15</v>
      </c>
      <c r="D495">
        <v>168011</v>
      </c>
      <c r="E495">
        <v>96378</v>
      </c>
      <c r="F495">
        <v>71633</v>
      </c>
      <c r="G495">
        <v>62378</v>
      </c>
      <c r="H495">
        <v>849991</v>
      </c>
      <c r="I495">
        <v>265575</v>
      </c>
      <c r="J495">
        <v>584416</v>
      </c>
    </row>
    <row r="496" spans="1:10" x14ac:dyDescent="0.25">
      <c r="A496" s="1">
        <v>44043</v>
      </c>
      <c r="B496" t="s">
        <v>13</v>
      </c>
      <c r="C496" t="s">
        <v>16</v>
      </c>
      <c r="D496">
        <v>173794</v>
      </c>
      <c r="E496">
        <v>105113</v>
      </c>
      <c r="F496">
        <v>68681</v>
      </c>
      <c r="G496">
        <v>56255</v>
      </c>
      <c r="H496">
        <v>798357</v>
      </c>
      <c r="I496">
        <v>329189</v>
      </c>
      <c r="J496">
        <v>469168</v>
      </c>
    </row>
    <row r="497" spans="1:10" x14ac:dyDescent="0.25">
      <c r="A497" s="1">
        <v>44043</v>
      </c>
      <c r="B497" t="s">
        <v>13</v>
      </c>
      <c r="C497" t="s">
        <v>17</v>
      </c>
      <c r="D497">
        <v>105249</v>
      </c>
      <c r="E497">
        <v>79201</v>
      </c>
      <c r="F497">
        <v>26048</v>
      </c>
      <c r="G497">
        <v>10195</v>
      </c>
      <c r="H497">
        <v>913936</v>
      </c>
      <c r="I497">
        <v>611778</v>
      </c>
      <c r="J497">
        <v>302158</v>
      </c>
    </row>
    <row r="498" spans="1:10" x14ac:dyDescent="0.25">
      <c r="A498" s="1">
        <v>44074</v>
      </c>
      <c r="B498" t="s">
        <v>10</v>
      </c>
      <c r="C498" t="s">
        <v>14</v>
      </c>
      <c r="D498">
        <v>109686</v>
      </c>
      <c r="E498">
        <v>113363</v>
      </c>
      <c r="F498">
        <v>-3677</v>
      </c>
      <c r="G498">
        <v>-9338</v>
      </c>
      <c r="H498">
        <v>375915</v>
      </c>
      <c r="I498">
        <v>719961</v>
      </c>
      <c r="J498">
        <v>-344046</v>
      </c>
    </row>
    <row r="499" spans="1:10" x14ac:dyDescent="0.25">
      <c r="A499" s="1">
        <v>44074</v>
      </c>
      <c r="B499" t="s">
        <v>10</v>
      </c>
      <c r="C499" t="s">
        <v>15</v>
      </c>
      <c r="D499">
        <v>160963</v>
      </c>
      <c r="E499">
        <v>102828</v>
      </c>
      <c r="F499">
        <v>58135</v>
      </c>
      <c r="G499">
        <v>42609</v>
      </c>
      <c r="H499">
        <v>225592</v>
      </c>
      <c r="I499">
        <v>391126</v>
      </c>
      <c r="J499">
        <v>-165534</v>
      </c>
    </row>
    <row r="500" spans="1:10" x14ac:dyDescent="0.25">
      <c r="A500" s="1">
        <v>44074</v>
      </c>
      <c r="B500" t="s">
        <v>10</v>
      </c>
      <c r="C500" t="s">
        <v>16</v>
      </c>
      <c r="D500">
        <v>100207</v>
      </c>
      <c r="E500">
        <v>148733</v>
      </c>
      <c r="F500">
        <v>-48526</v>
      </c>
      <c r="G500">
        <v>-54158</v>
      </c>
      <c r="H500">
        <v>324982</v>
      </c>
      <c r="I500">
        <v>356911</v>
      </c>
      <c r="J500">
        <v>-31929</v>
      </c>
    </row>
    <row r="501" spans="1:10" x14ac:dyDescent="0.25">
      <c r="A501" s="1">
        <v>44074</v>
      </c>
      <c r="B501" t="s">
        <v>10</v>
      </c>
      <c r="C501" t="s">
        <v>17</v>
      </c>
      <c r="D501">
        <v>168619</v>
      </c>
      <c r="E501">
        <v>89328</v>
      </c>
      <c r="F501">
        <v>79291</v>
      </c>
      <c r="G501">
        <v>60580</v>
      </c>
      <c r="H501">
        <v>701643</v>
      </c>
      <c r="I501">
        <v>251175</v>
      </c>
      <c r="J501">
        <v>450468</v>
      </c>
    </row>
    <row r="502" spans="1:10" x14ac:dyDescent="0.25">
      <c r="A502" s="1">
        <v>44074</v>
      </c>
      <c r="B502" t="s">
        <v>11</v>
      </c>
      <c r="C502" t="s">
        <v>14</v>
      </c>
      <c r="D502">
        <v>139891</v>
      </c>
      <c r="E502">
        <v>70754</v>
      </c>
      <c r="F502">
        <v>69137</v>
      </c>
      <c r="G502">
        <v>62458</v>
      </c>
      <c r="H502">
        <v>298540</v>
      </c>
      <c r="I502">
        <v>727035</v>
      </c>
      <c r="J502">
        <v>-428495</v>
      </c>
    </row>
    <row r="503" spans="1:10" x14ac:dyDescent="0.25">
      <c r="A503" s="1">
        <v>44074</v>
      </c>
      <c r="B503" t="s">
        <v>11</v>
      </c>
      <c r="C503" t="s">
        <v>15</v>
      </c>
      <c r="D503">
        <v>155922</v>
      </c>
      <c r="E503">
        <v>108231</v>
      </c>
      <c r="F503">
        <v>47691</v>
      </c>
      <c r="G503">
        <v>29774</v>
      </c>
      <c r="H503">
        <v>422724</v>
      </c>
      <c r="I503">
        <v>614003</v>
      </c>
      <c r="J503">
        <v>-191279</v>
      </c>
    </row>
    <row r="504" spans="1:10" x14ac:dyDescent="0.25">
      <c r="A504" s="1">
        <v>44074</v>
      </c>
      <c r="B504" t="s">
        <v>11</v>
      </c>
      <c r="C504" t="s">
        <v>16</v>
      </c>
      <c r="D504">
        <v>162711</v>
      </c>
      <c r="E504">
        <v>101323</v>
      </c>
      <c r="F504">
        <v>61388</v>
      </c>
      <c r="G504">
        <v>54020</v>
      </c>
      <c r="H504">
        <v>937565</v>
      </c>
      <c r="I504">
        <v>768755</v>
      </c>
      <c r="J504">
        <v>168810</v>
      </c>
    </row>
    <row r="505" spans="1:10" x14ac:dyDescent="0.25">
      <c r="A505" s="1">
        <v>44074</v>
      </c>
      <c r="B505" t="s">
        <v>11</v>
      </c>
      <c r="C505" t="s">
        <v>17</v>
      </c>
      <c r="D505">
        <v>185957</v>
      </c>
      <c r="E505">
        <v>116273</v>
      </c>
      <c r="F505">
        <v>69684</v>
      </c>
      <c r="G505">
        <v>51941</v>
      </c>
      <c r="H505">
        <v>816166</v>
      </c>
      <c r="I505">
        <v>219968</v>
      </c>
      <c r="J505">
        <v>596198</v>
      </c>
    </row>
    <row r="506" spans="1:10" x14ac:dyDescent="0.25">
      <c r="A506" s="1">
        <v>44074</v>
      </c>
      <c r="B506" t="s">
        <v>12</v>
      </c>
      <c r="C506" t="s">
        <v>14</v>
      </c>
      <c r="D506">
        <v>176559</v>
      </c>
      <c r="E506">
        <v>70699</v>
      </c>
      <c r="F506">
        <v>105860</v>
      </c>
      <c r="G506">
        <v>91145</v>
      </c>
      <c r="H506">
        <v>219169</v>
      </c>
      <c r="I506">
        <v>618652</v>
      </c>
      <c r="J506">
        <v>-399483</v>
      </c>
    </row>
    <row r="507" spans="1:10" x14ac:dyDescent="0.25">
      <c r="A507" s="1">
        <v>44074</v>
      </c>
      <c r="B507" t="s">
        <v>12</v>
      </c>
      <c r="C507" t="s">
        <v>15</v>
      </c>
      <c r="D507">
        <v>116163</v>
      </c>
      <c r="E507">
        <v>65782</v>
      </c>
      <c r="F507">
        <v>50381</v>
      </c>
      <c r="G507">
        <v>39124</v>
      </c>
      <c r="H507">
        <v>722988</v>
      </c>
      <c r="I507">
        <v>224481</v>
      </c>
      <c r="J507">
        <v>498507</v>
      </c>
    </row>
    <row r="508" spans="1:10" x14ac:dyDescent="0.25">
      <c r="A508" s="1">
        <v>44074</v>
      </c>
      <c r="B508" t="s">
        <v>12</v>
      </c>
      <c r="C508" t="s">
        <v>16</v>
      </c>
      <c r="D508">
        <v>184328</v>
      </c>
      <c r="E508">
        <v>95585</v>
      </c>
      <c r="F508">
        <v>88743</v>
      </c>
      <c r="G508">
        <v>69445</v>
      </c>
      <c r="H508">
        <v>378936</v>
      </c>
      <c r="I508">
        <v>492136</v>
      </c>
      <c r="J508">
        <v>-113200</v>
      </c>
    </row>
    <row r="509" spans="1:10" x14ac:dyDescent="0.25">
      <c r="A509" s="1">
        <v>44074</v>
      </c>
      <c r="B509" t="s">
        <v>12</v>
      </c>
      <c r="C509" t="s">
        <v>17</v>
      </c>
      <c r="D509">
        <v>184416</v>
      </c>
      <c r="E509">
        <v>115114</v>
      </c>
      <c r="F509">
        <v>69302</v>
      </c>
      <c r="G509">
        <v>51180</v>
      </c>
      <c r="H509">
        <v>238067</v>
      </c>
      <c r="I509">
        <v>798045</v>
      </c>
      <c r="J509">
        <v>-559978</v>
      </c>
    </row>
    <row r="510" spans="1:10" x14ac:dyDescent="0.25">
      <c r="A510" s="1">
        <v>44074</v>
      </c>
      <c r="B510" t="s">
        <v>13</v>
      </c>
      <c r="C510" t="s">
        <v>14</v>
      </c>
      <c r="D510">
        <v>118073</v>
      </c>
      <c r="E510">
        <v>96035</v>
      </c>
      <c r="F510">
        <v>22038</v>
      </c>
      <c r="G510">
        <v>12632</v>
      </c>
      <c r="H510">
        <v>814661</v>
      </c>
      <c r="I510">
        <v>714805</v>
      </c>
      <c r="J510">
        <v>99856</v>
      </c>
    </row>
    <row r="511" spans="1:10" x14ac:dyDescent="0.25">
      <c r="A511" s="1">
        <v>44074</v>
      </c>
      <c r="B511" t="s">
        <v>13</v>
      </c>
      <c r="C511" t="s">
        <v>15</v>
      </c>
      <c r="D511">
        <v>165450</v>
      </c>
      <c r="E511">
        <v>70382</v>
      </c>
      <c r="F511">
        <v>95068</v>
      </c>
      <c r="G511">
        <v>85631</v>
      </c>
      <c r="H511">
        <v>926331</v>
      </c>
      <c r="I511">
        <v>557828</v>
      </c>
      <c r="J511">
        <v>368503</v>
      </c>
    </row>
    <row r="512" spans="1:10" x14ac:dyDescent="0.25">
      <c r="A512" s="1">
        <v>44074</v>
      </c>
      <c r="B512" t="s">
        <v>13</v>
      </c>
      <c r="C512" t="s">
        <v>16</v>
      </c>
      <c r="D512">
        <v>190355</v>
      </c>
      <c r="E512">
        <v>121929</v>
      </c>
      <c r="F512">
        <v>68426</v>
      </c>
      <c r="G512">
        <v>59319</v>
      </c>
      <c r="H512">
        <v>952878</v>
      </c>
      <c r="I512">
        <v>767689</v>
      </c>
      <c r="J512">
        <v>185189</v>
      </c>
    </row>
    <row r="513" spans="1:10" x14ac:dyDescent="0.25">
      <c r="A513" s="1">
        <v>44074</v>
      </c>
      <c r="B513" t="s">
        <v>13</v>
      </c>
      <c r="C513" t="s">
        <v>17</v>
      </c>
      <c r="D513">
        <v>125169</v>
      </c>
      <c r="E513">
        <v>147468</v>
      </c>
      <c r="F513">
        <v>-22299</v>
      </c>
      <c r="G513">
        <v>-29125</v>
      </c>
      <c r="H513">
        <v>391703</v>
      </c>
      <c r="I513">
        <v>145033</v>
      </c>
      <c r="J513">
        <v>246670</v>
      </c>
    </row>
    <row r="514" spans="1:10" x14ac:dyDescent="0.25">
      <c r="A514" s="1">
        <v>44104</v>
      </c>
      <c r="B514" t="s">
        <v>10</v>
      </c>
      <c r="C514" t="s">
        <v>14</v>
      </c>
      <c r="D514">
        <v>163133</v>
      </c>
      <c r="E514">
        <v>133165</v>
      </c>
      <c r="F514">
        <v>29968</v>
      </c>
      <c r="G514">
        <v>16643</v>
      </c>
      <c r="H514">
        <v>907650</v>
      </c>
      <c r="I514">
        <v>393894</v>
      </c>
      <c r="J514">
        <v>513756</v>
      </c>
    </row>
    <row r="515" spans="1:10" x14ac:dyDescent="0.25">
      <c r="A515" s="1">
        <v>44104</v>
      </c>
      <c r="B515" t="s">
        <v>10</v>
      </c>
      <c r="C515" t="s">
        <v>15</v>
      </c>
      <c r="D515">
        <v>195155</v>
      </c>
      <c r="E515">
        <v>100461</v>
      </c>
      <c r="F515">
        <v>94694</v>
      </c>
      <c r="G515">
        <v>81430</v>
      </c>
      <c r="H515">
        <v>278222</v>
      </c>
      <c r="I515">
        <v>736308</v>
      </c>
      <c r="J515">
        <v>-458086</v>
      </c>
    </row>
    <row r="516" spans="1:10" x14ac:dyDescent="0.25">
      <c r="A516" s="1">
        <v>44104</v>
      </c>
      <c r="B516" t="s">
        <v>10</v>
      </c>
      <c r="C516" t="s">
        <v>16</v>
      </c>
      <c r="D516">
        <v>124226</v>
      </c>
      <c r="E516">
        <v>66721</v>
      </c>
      <c r="F516">
        <v>57505</v>
      </c>
      <c r="G516">
        <v>45503</v>
      </c>
      <c r="H516">
        <v>744897</v>
      </c>
      <c r="I516">
        <v>754801</v>
      </c>
      <c r="J516">
        <v>-9904</v>
      </c>
    </row>
    <row r="517" spans="1:10" x14ac:dyDescent="0.25">
      <c r="A517" s="1">
        <v>44104</v>
      </c>
      <c r="B517" t="s">
        <v>10</v>
      </c>
      <c r="C517" t="s">
        <v>17</v>
      </c>
      <c r="D517">
        <v>172909</v>
      </c>
      <c r="E517">
        <v>115249</v>
      </c>
      <c r="F517">
        <v>57660</v>
      </c>
      <c r="G517">
        <v>40107</v>
      </c>
      <c r="H517">
        <v>656956</v>
      </c>
      <c r="I517">
        <v>129984</v>
      </c>
      <c r="J517">
        <v>526972</v>
      </c>
    </row>
    <row r="518" spans="1:10" x14ac:dyDescent="0.25">
      <c r="A518" s="1">
        <v>44104</v>
      </c>
      <c r="B518" t="s">
        <v>11</v>
      </c>
      <c r="C518" t="s">
        <v>14</v>
      </c>
      <c r="D518">
        <v>173822</v>
      </c>
      <c r="E518">
        <v>65901</v>
      </c>
      <c r="F518">
        <v>107921</v>
      </c>
      <c r="G518">
        <v>93596</v>
      </c>
      <c r="H518">
        <v>493199</v>
      </c>
      <c r="I518">
        <v>793045</v>
      </c>
      <c r="J518">
        <v>-299846</v>
      </c>
    </row>
    <row r="519" spans="1:10" x14ac:dyDescent="0.25">
      <c r="A519" s="1">
        <v>44104</v>
      </c>
      <c r="B519" t="s">
        <v>11</v>
      </c>
      <c r="C519" t="s">
        <v>15</v>
      </c>
      <c r="D519">
        <v>173965</v>
      </c>
      <c r="E519">
        <v>74716</v>
      </c>
      <c r="F519">
        <v>99249</v>
      </c>
      <c r="G519">
        <v>83111</v>
      </c>
      <c r="H519">
        <v>890658</v>
      </c>
      <c r="I519">
        <v>123429</v>
      </c>
      <c r="J519">
        <v>767229</v>
      </c>
    </row>
    <row r="520" spans="1:10" x14ac:dyDescent="0.25">
      <c r="A520" s="1">
        <v>44104</v>
      </c>
      <c r="B520" t="s">
        <v>11</v>
      </c>
      <c r="C520" t="s">
        <v>16</v>
      </c>
      <c r="D520">
        <v>150200</v>
      </c>
      <c r="E520">
        <v>131308</v>
      </c>
      <c r="F520">
        <v>18892</v>
      </c>
      <c r="G520">
        <v>11363</v>
      </c>
      <c r="H520">
        <v>445127</v>
      </c>
      <c r="I520">
        <v>117347</v>
      </c>
      <c r="J520">
        <v>327780</v>
      </c>
    </row>
    <row r="521" spans="1:10" x14ac:dyDescent="0.25">
      <c r="A521" s="1">
        <v>44104</v>
      </c>
      <c r="B521" t="s">
        <v>11</v>
      </c>
      <c r="C521" t="s">
        <v>17</v>
      </c>
      <c r="D521">
        <v>116920</v>
      </c>
      <c r="E521">
        <v>91822</v>
      </c>
      <c r="F521">
        <v>25098</v>
      </c>
      <c r="G521">
        <v>6207</v>
      </c>
      <c r="H521">
        <v>764396</v>
      </c>
      <c r="I521">
        <v>582315</v>
      </c>
      <c r="J521">
        <v>182081</v>
      </c>
    </row>
    <row r="522" spans="1:10" x14ac:dyDescent="0.25">
      <c r="A522" s="1">
        <v>44104</v>
      </c>
      <c r="B522" t="s">
        <v>12</v>
      </c>
      <c r="C522" t="s">
        <v>14</v>
      </c>
      <c r="D522">
        <v>107967</v>
      </c>
      <c r="E522">
        <v>71871</v>
      </c>
      <c r="F522">
        <v>36096</v>
      </c>
      <c r="G522">
        <v>18717</v>
      </c>
      <c r="H522">
        <v>408524</v>
      </c>
      <c r="I522">
        <v>264685</v>
      </c>
      <c r="J522">
        <v>143839</v>
      </c>
    </row>
    <row r="523" spans="1:10" x14ac:dyDescent="0.25">
      <c r="A523" s="1">
        <v>44104</v>
      </c>
      <c r="B523" t="s">
        <v>12</v>
      </c>
      <c r="C523" t="s">
        <v>15</v>
      </c>
      <c r="D523">
        <v>128179</v>
      </c>
      <c r="E523">
        <v>112188</v>
      </c>
      <c r="F523">
        <v>15991</v>
      </c>
      <c r="G523">
        <v>5044</v>
      </c>
      <c r="H523">
        <v>759550</v>
      </c>
      <c r="I523">
        <v>479551</v>
      </c>
      <c r="J523">
        <v>279999</v>
      </c>
    </row>
    <row r="524" spans="1:10" x14ac:dyDescent="0.25">
      <c r="A524" s="1">
        <v>44104</v>
      </c>
      <c r="B524" t="s">
        <v>12</v>
      </c>
      <c r="C524" t="s">
        <v>16</v>
      </c>
      <c r="D524">
        <v>118268</v>
      </c>
      <c r="E524">
        <v>137866</v>
      </c>
      <c r="F524">
        <v>-19598</v>
      </c>
      <c r="G524">
        <v>-28947</v>
      </c>
      <c r="H524">
        <v>260545</v>
      </c>
      <c r="I524">
        <v>334555</v>
      </c>
      <c r="J524">
        <v>-74010</v>
      </c>
    </row>
    <row r="525" spans="1:10" x14ac:dyDescent="0.25">
      <c r="A525" s="1">
        <v>44104</v>
      </c>
      <c r="B525" t="s">
        <v>12</v>
      </c>
      <c r="C525" t="s">
        <v>17</v>
      </c>
      <c r="D525">
        <v>192822</v>
      </c>
      <c r="E525">
        <v>132146</v>
      </c>
      <c r="F525">
        <v>60676</v>
      </c>
      <c r="G525">
        <v>49246</v>
      </c>
      <c r="H525">
        <v>502066</v>
      </c>
      <c r="I525">
        <v>667201</v>
      </c>
      <c r="J525">
        <v>-165135</v>
      </c>
    </row>
    <row r="526" spans="1:10" x14ac:dyDescent="0.25">
      <c r="A526" s="1">
        <v>44104</v>
      </c>
      <c r="B526" t="s">
        <v>13</v>
      </c>
      <c r="C526" t="s">
        <v>14</v>
      </c>
      <c r="D526">
        <v>197033</v>
      </c>
      <c r="E526">
        <v>115677</v>
      </c>
      <c r="F526">
        <v>81356</v>
      </c>
      <c r="G526">
        <v>72506</v>
      </c>
      <c r="H526">
        <v>643057</v>
      </c>
      <c r="I526">
        <v>585278</v>
      </c>
      <c r="J526">
        <v>57779</v>
      </c>
    </row>
    <row r="527" spans="1:10" x14ac:dyDescent="0.25">
      <c r="A527" s="1">
        <v>44104</v>
      </c>
      <c r="B527" t="s">
        <v>13</v>
      </c>
      <c r="C527" t="s">
        <v>15</v>
      </c>
      <c r="D527">
        <v>195694</v>
      </c>
      <c r="E527">
        <v>85032</v>
      </c>
      <c r="F527">
        <v>110662</v>
      </c>
      <c r="G527">
        <v>100584</v>
      </c>
      <c r="H527">
        <v>914834</v>
      </c>
      <c r="I527">
        <v>144936</v>
      </c>
      <c r="J527">
        <v>769898</v>
      </c>
    </row>
    <row r="528" spans="1:10" x14ac:dyDescent="0.25">
      <c r="A528" s="1">
        <v>44104</v>
      </c>
      <c r="B528" t="s">
        <v>13</v>
      </c>
      <c r="C528" t="s">
        <v>16</v>
      </c>
      <c r="D528">
        <v>129794</v>
      </c>
      <c r="E528">
        <v>121588</v>
      </c>
      <c r="F528">
        <v>8206</v>
      </c>
      <c r="G528">
        <v>-2242</v>
      </c>
      <c r="H528">
        <v>425469</v>
      </c>
      <c r="I528">
        <v>128141</v>
      </c>
      <c r="J528">
        <v>297328</v>
      </c>
    </row>
    <row r="529" spans="1:10" x14ac:dyDescent="0.25">
      <c r="A529" s="1">
        <v>44104</v>
      </c>
      <c r="B529" t="s">
        <v>13</v>
      </c>
      <c r="C529" t="s">
        <v>17</v>
      </c>
      <c r="D529">
        <v>109074</v>
      </c>
      <c r="E529">
        <v>66406</v>
      </c>
      <c r="F529">
        <v>42668</v>
      </c>
      <c r="G529">
        <v>29077</v>
      </c>
      <c r="H529">
        <v>354363</v>
      </c>
      <c r="I529">
        <v>665856</v>
      </c>
      <c r="J529">
        <v>-311493</v>
      </c>
    </row>
    <row r="530" spans="1:10" x14ac:dyDescent="0.25">
      <c r="A530" s="1">
        <v>44135</v>
      </c>
      <c r="B530" t="s">
        <v>10</v>
      </c>
      <c r="C530" t="s">
        <v>14</v>
      </c>
      <c r="D530">
        <v>197539</v>
      </c>
      <c r="E530">
        <v>106851</v>
      </c>
      <c r="F530">
        <v>90688</v>
      </c>
      <c r="G530">
        <v>84050</v>
      </c>
      <c r="H530">
        <v>779111</v>
      </c>
      <c r="I530">
        <v>123312</v>
      </c>
      <c r="J530">
        <v>655799</v>
      </c>
    </row>
    <row r="531" spans="1:10" x14ac:dyDescent="0.25">
      <c r="A531" s="1">
        <v>44135</v>
      </c>
      <c r="B531" t="s">
        <v>10</v>
      </c>
      <c r="C531" t="s">
        <v>15</v>
      </c>
      <c r="D531">
        <v>143108</v>
      </c>
      <c r="E531">
        <v>126918</v>
      </c>
      <c r="F531">
        <v>16190</v>
      </c>
      <c r="G531">
        <v>9787</v>
      </c>
      <c r="H531">
        <v>634995</v>
      </c>
      <c r="I531">
        <v>600531</v>
      </c>
      <c r="J531">
        <v>34464</v>
      </c>
    </row>
    <row r="532" spans="1:10" x14ac:dyDescent="0.25">
      <c r="A532" s="1">
        <v>44135</v>
      </c>
      <c r="B532" t="s">
        <v>10</v>
      </c>
      <c r="C532" t="s">
        <v>16</v>
      </c>
      <c r="D532">
        <v>198723</v>
      </c>
      <c r="E532">
        <v>72411</v>
      </c>
      <c r="F532">
        <v>126312</v>
      </c>
      <c r="G532">
        <v>116795</v>
      </c>
      <c r="H532">
        <v>449062</v>
      </c>
      <c r="I532">
        <v>508638</v>
      </c>
      <c r="J532">
        <v>-59576</v>
      </c>
    </row>
    <row r="533" spans="1:10" x14ac:dyDescent="0.25">
      <c r="A533" s="1">
        <v>44135</v>
      </c>
      <c r="B533" t="s">
        <v>10</v>
      </c>
      <c r="C533" t="s">
        <v>17</v>
      </c>
      <c r="D533">
        <v>142468</v>
      </c>
      <c r="E533">
        <v>92371</v>
      </c>
      <c r="F533">
        <v>50097</v>
      </c>
      <c r="G533">
        <v>37227</v>
      </c>
      <c r="H533">
        <v>533373</v>
      </c>
      <c r="I533">
        <v>199071</v>
      </c>
      <c r="J533">
        <v>334302</v>
      </c>
    </row>
    <row r="534" spans="1:10" x14ac:dyDescent="0.25">
      <c r="A534" s="1">
        <v>44135</v>
      </c>
      <c r="B534" t="s">
        <v>11</v>
      </c>
      <c r="C534" t="s">
        <v>14</v>
      </c>
      <c r="D534">
        <v>151196</v>
      </c>
      <c r="E534">
        <v>140354</v>
      </c>
      <c r="F534">
        <v>10842</v>
      </c>
      <c r="G534">
        <v>-9012</v>
      </c>
      <c r="H534">
        <v>689626</v>
      </c>
      <c r="I534">
        <v>388859</v>
      </c>
      <c r="J534">
        <v>300767</v>
      </c>
    </row>
    <row r="535" spans="1:10" x14ac:dyDescent="0.25">
      <c r="A535" s="1">
        <v>44135</v>
      </c>
      <c r="B535" t="s">
        <v>11</v>
      </c>
      <c r="C535" t="s">
        <v>15</v>
      </c>
      <c r="D535">
        <v>127605</v>
      </c>
      <c r="E535">
        <v>159853</v>
      </c>
      <c r="F535">
        <v>-32248</v>
      </c>
      <c r="G535">
        <v>-52038</v>
      </c>
      <c r="H535">
        <v>697660</v>
      </c>
      <c r="I535">
        <v>176373</v>
      </c>
      <c r="J535">
        <v>521287</v>
      </c>
    </row>
    <row r="536" spans="1:10" x14ac:dyDescent="0.25">
      <c r="A536" s="1">
        <v>44135</v>
      </c>
      <c r="B536" t="s">
        <v>11</v>
      </c>
      <c r="C536" t="s">
        <v>16</v>
      </c>
      <c r="D536">
        <v>169252</v>
      </c>
      <c r="E536">
        <v>121949</v>
      </c>
      <c r="F536">
        <v>47303</v>
      </c>
      <c r="G536">
        <v>28809</v>
      </c>
      <c r="H536">
        <v>794305</v>
      </c>
      <c r="I536">
        <v>163037</v>
      </c>
      <c r="J536">
        <v>631268</v>
      </c>
    </row>
    <row r="537" spans="1:10" x14ac:dyDescent="0.25">
      <c r="A537" s="1">
        <v>44135</v>
      </c>
      <c r="B537" t="s">
        <v>11</v>
      </c>
      <c r="C537" t="s">
        <v>17</v>
      </c>
      <c r="D537">
        <v>189818</v>
      </c>
      <c r="E537">
        <v>66548</v>
      </c>
      <c r="F537">
        <v>123270</v>
      </c>
      <c r="G537">
        <v>115977</v>
      </c>
      <c r="H537">
        <v>434213</v>
      </c>
      <c r="I537">
        <v>304366</v>
      </c>
      <c r="J537">
        <v>129847</v>
      </c>
    </row>
    <row r="538" spans="1:10" x14ac:dyDescent="0.25">
      <c r="A538" s="1">
        <v>44135</v>
      </c>
      <c r="B538" t="s">
        <v>12</v>
      </c>
      <c r="C538" t="s">
        <v>14</v>
      </c>
      <c r="D538">
        <v>123177</v>
      </c>
      <c r="E538">
        <v>84022</v>
      </c>
      <c r="F538">
        <v>39155</v>
      </c>
      <c r="G538">
        <v>26162</v>
      </c>
      <c r="H538">
        <v>860902</v>
      </c>
      <c r="I538">
        <v>322084</v>
      </c>
      <c r="J538">
        <v>538818</v>
      </c>
    </row>
    <row r="539" spans="1:10" x14ac:dyDescent="0.25">
      <c r="A539" s="1">
        <v>44135</v>
      </c>
      <c r="B539" t="s">
        <v>12</v>
      </c>
      <c r="C539" t="s">
        <v>15</v>
      </c>
      <c r="D539">
        <v>196320</v>
      </c>
      <c r="E539">
        <v>120428</v>
      </c>
      <c r="F539">
        <v>75892</v>
      </c>
      <c r="G539">
        <v>64536</v>
      </c>
      <c r="H539">
        <v>521497</v>
      </c>
      <c r="I539">
        <v>737420</v>
      </c>
      <c r="J539">
        <v>-215923</v>
      </c>
    </row>
    <row r="540" spans="1:10" x14ac:dyDescent="0.25">
      <c r="A540" s="1">
        <v>44135</v>
      </c>
      <c r="B540" t="s">
        <v>12</v>
      </c>
      <c r="C540" t="s">
        <v>16</v>
      </c>
      <c r="D540">
        <v>156532</v>
      </c>
      <c r="E540">
        <v>76052</v>
      </c>
      <c r="F540">
        <v>80480</v>
      </c>
      <c r="G540">
        <v>73095</v>
      </c>
      <c r="H540">
        <v>902436</v>
      </c>
      <c r="I540">
        <v>546636</v>
      </c>
      <c r="J540">
        <v>355800</v>
      </c>
    </row>
    <row r="541" spans="1:10" x14ac:dyDescent="0.25">
      <c r="A541" s="1">
        <v>44135</v>
      </c>
      <c r="B541" t="s">
        <v>12</v>
      </c>
      <c r="C541" t="s">
        <v>17</v>
      </c>
      <c r="D541">
        <v>100671</v>
      </c>
      <c r="E541">
        <v>60163</v>
      </c>
      <c r="F541">
        <v>40508</v>
      </c>
      <c r="G541">
        <v>26852</v>
      </c>
      <c r="H541">
        <v>702754</v>
      </c>
      <c r="I541">
        <v>563547</v>
      </c>
      <c r="J541">
        <v>139207</v>
      </c>
    </row>
    <row r="542" spans="1:10" x14ac:dyDescent="0.25">
      <c r="A542" s="1">
        <v>44135</v>
      </c>
      <c r="B542" t="s">
        <v>13</v>
      </c>
      <c r="C542" t="s">
        <v>14</v>
      </c>
      <c r="D542">
        <v>110634</v>
      </c>
      <c r="E542">
        <v>64798</v>
      </c>
      <c r="F542">
        <v>45836</v>
      </c>
      <c r="G542">
        <v>34800</v>
      </c>
      <c r="H542">
        <v>710259</v>
      </c>
      <c r="I542">
        <v>744863</v>
      </c>
      <c r="J542">
        <v>-34604</v>
      </c>
    </row>
    <row r="543" spans="1:10" x14ac:dyDescent="0.25">
      <c r="A543" s="1">
        <v>44135</v>
      </c>
      <c r="B543" t="s">
        <v>13</v>
      </c>
      <c r="C543" t="s">
        <v>15</v>
      </c>
      <c r="D543">
        <v>129300</v>
      </c>
      <c r="E543">
        <v>149881</v>
      </c>
      <c r="F543">
        <v>-20581</v>
      </c>
      <c r="G543">
        <v>-36330</v>
      </c>
      <c r="H543">
        <v>828419</v>
      </c>
      <c r="I543">
        <v>780481</v>
      </c>
      <c r="J543">
        <v>47938</v>
      </c>
    </row>
    <row r="544" spans="1:10" x14ac:dyDescent="0.25">
      <c r="A544" s="1">
        <v>44135</v>
      </c>
      <c r="B544" t="s">
        <v>13</v>
      </c>
      <c r="C544" t="s">
        <v>16</v>
      </c>
      <c r="D544">
        <v>137487</v>
      </c>
      <c r="E544">
        <v>153947</v>
      </c>
      <c r="F544">
        <v>-16460</v>
      </c>
      <c r="G544">
        <v>-22053</v>
      </c>
      <c r="H544">
        <v>797218</v>
      </c>
      <c r="I544">
        <v>769416</v>
      </c>
      <c r="J544">
        <v>27802</v>
      </c>
    </row>
    <row r="545" spans="1:10" x14ac:dyDescent="0.25">
      <c r="A545" s="1">
        <v>44135</v>
      </c>
      <c r="B545" t="s">
        <v>13</v>
      </c>
      <c r="C545" t="s">
        <v>17</v>
      </c>
      <c r="D545">
        <v>128380</v>
      </c>
      <c r="E545">
        <v>86035</v>
      </c>
      <c r="F545">
        <v>42345</v>
      </c>
      <c r="G545">
        <v>23109</v>
      </c>
      <c r="H545">
        <v>456553</v>
      </c>
      <c r="I545">
        <v>548532</v>
      </c>
      <c r="J545">
        <v>-91979</v>
      </c>
    </row>
    <row r="546" spans="1:10" x14ac:dyDescent="0.25">
      <c r="A546" s="1">
        <v>44165</v>
      </c>
      <c r="B546" t="s">
        <v>10</v>
      </c>
      <c r="C546" t="s">
        <v>14</v>
      </c>
      <c r="D546">
        <v>164041</v>
      </c>
      <c r="E546">
        <v>113352</v>
      </c>
      <c r="F546">
        <v>50689</v>
      </c>
      <c r="G546">
        <v>31162</v>
      </c>
      <c r="H546">
        <v>363856</v>
      </c>
      <c r="I546">
        <v>103191</v>
      </c>
      <c r="J546">
        <v>260665</v>
      </c>
    </row>
    <row r="547" spans="1:10" x14ac:dyDescent="0.25">
      <c r="A547" s="1">
        <v>44165</v>
      </c>
      <c r="B547" t="s">
        <v>10</v>
      </c>
      <c r="C547" t="s">
        <v>15</v>
      </c>
      <c r="D547">
        <v>133160</v>
      </c>
      <c r="E547">
        <v>150536</v>
      </c>
      <c r="F547">
        <v>-17376</v>
      </c>
      <c r="G547">
        <v>-28648</v>
      </c>
      <c r="H547">
        <v>395713</v>
      </c>
      <c r="I547">
        <v>542939</v>
      </c>
      <c r="J547">
        <v>-147226</v>
      </c>
    </row>
    <row r="548" spans="1:10" x14ac:dyDescent="0.25">
      <c r="A548" s="1">
        <v>44165</v>
      </c>
      <c r="B548" t="s">
        <v>10</v>
      </c>
      <c r="C548" t="s">
        <v>16</v>
      </c>
      <c r="D548">
        <v>103631</v>
      </c>
      <c r="E548">
        <v>66172</v>
      </c>
      <c r="F548">
        <v>37459</v>
      </c>
      <c r="G548">
        <v>23147</v>
      </c>
      <c r="H548">
        <v>420169</v>
      </c>
      <c r="I548">
        <v>714641</v>
      </c>
      <c r="J548">
        <v>-294472</v>
      </c>
    </row>
    <row r="549" spans="1:10" x14ac:dyDescent="0.25">
      <c r="A549" s="1">
        <v>44165</v>
      </c>
      <c r="B549" t="s">
        <v>10</v>
      </c>
      <c r="C549" t="s">
        <v>17</v>
      </c>
      <c r="D549">
        <v>120281</v>
      </c>
      <c r="E549">
        <v>88671</v>
      </c>
      <c r="F549">
        <v>31610</v>
      </c>
      <c r="G549">
        <v>18487</v>
      </c>
      <c r="H549">
        <v>906791</v>
      </c>
      <c r="I549">
        <v>321972</v>
      </c>
      <c r="J549">
        <v>584819</v>
      </c>
    </row>
    <row r="550" spans="1:10" x14ac:dyDescent="0.25">
      <c r="A550" s="1">
        <v>44165</v>
      </c>
      <c r="B550" t="s">
        <v>11</v>
      </c>
      <c r="C550" t="s">
        <v>14</v>
      </c>
      <c r="D550">
        <v>192961</v>
      </c>
      <c r="E550">
        <v>88602</v>
      </c>
      <c r="F550">
        <v>104359</v>
      </c>
      <c r="G550">
        <v>92490</v>
      </c>
      <c r="H550">
        <v>878832</v>
      </c>
      <c r="I550">
        <v>107099</v>
      </c>
      <c r="J550">
        <v>771733</v>
      </c>
    </row>
    <row r="551" spans="1:10" x14ac:dyDescent="0.25">
      <c r="A551" s="1">
        <v>44165</v>
      </c>
      <c r="B551" t="s">
        <v>11</v>
      </c>
      <c r="C551" t="s">
        <v>15</v>
      </c>
      <c r="D551">
        <v>125431</v>
      </c>
      <c r="E551">
        <v>116492</v>
      </c>
      <c r="F551">
        <v>8939</v>
      </c>
      <c r="G551">
        <v>-10863</v>
      </c>
      <c r="H551">
        <v>754399</v>
      </c>
      <c r="I551">
        <v>163936</v>
      </c>
      <c r="J551">
        <v>590463</v>
      </c>
    </row>
    <row r="552" spans="1:10" x14ac:dyDescent="0.25">
      <c r="A552" s="1">
        <v>44165</v>
      </c>
      <c r="B552" t="s">
        <v>11</v>
      </c>
      <c r="C552" t="s">
        <v>16</v>
      </c>
      <c r="D552">
        <v>122614</v>
      </c>
      <c r="E552">
        <v>152260</v>
      </c>
      <c r="F552">
        <v>-29646</v>
      </c>
      <c r="G552">
        <v>-43869</v>
      </c>
      <c r="H552">
        <v>925836</v>
      </c>
      <c r="I552">
        <v>423064</v>
      </c>
      <c r="J552">
        <v>502772</v>
      </c>
    </row>
    <row r="553" spans="1:10" x14ac:dyDescent="0.25">
      <c r="A553" s="1">
        <v>44165</v>
      </c>
      <c r="B553" t="s">
        <v>11</v>
      </c>
      <c r="C553" t="s">
        <v>17</v>
      </c>
      <c r="D553">
        <v>194294</v>
      </c>
      <c r="E553">
        <v>123530</v>
      </c>
      <c r="F553">
        <v>70764</v>
      </c>
      <c r="G553">
        <v>62308</v>
      </c>
      <c r="H553">
        <v>469932</v>
      </c>
      <c r="I553">
        <v>652370</v>
      </c>
      <c r="J553">
        <v>-182438</v>
      </c>
    </row>
    <row r="554" spans="1:10" x14ac:dyDescent="0.25">
      <c r="A554" s="1">
        <v>44165</v>
      </c>
      <c r="B554" t="s">
        <v>12</v>
      </c>
      <c r="C554" t="s">
        <v>14</v>
      </c>
      <c r="D554">
        <v>189570</v>
      </c>
      <c r="E554">
        <v>136816</v>
      </c>
      <c r="F554">
        <v>52754</v>
      </c>
      <c r="G554">
        <v>46086</v>
      </c>
      <c r="H554">
        <v>347603</v>
      </c>
      <c r="I554">
        <v>718727</v>
      </c>
      <c r="J554">
        <v>-371124</v>
      </c>
    </row>
    <row r="555" spans="1:10" x14ac:dyDescent="0.25">
      <c r="A555" s="1">
        <v>44165</v>
      </c>
      <c r="B555" t="s">
        <v>12</v>
      </c>
      <c r="C555" t="s">
        <v>15</v>
      </c>
      <c r="D555">
        <v>144857</v>
      </c>
      <c r="E555">
        <v>70142</v>
      </c>
      <c r="F555">
        <v>74715</v>
      </c>
      <c r="G555">
        <v>69350</v>
      </c>
      <c r="H555">
        <v>772643</v>
      </c>
      <c r="I555">
        <v>503082</v>
      </c>
      <c r="J555">
        <v>269561</v>
      </c>
    </row>
    <row r="556" spans="1:10" x14ac:dyDescent="0.25">
      <c r="A556" s="1">
        <v>44165</v>
      </c>
      <c r="B556" t="s">
        <v>12</v>
      </c>
      <c r="C556" t="s">
        <v>16</v>
      </c>
      <c r="D556">
        <v>170067</v>
      </c>
      <c r="E556">
        <v>124027</v>
      </c>
      <c r="F556">
        <v>46040</v>
      </c>
      <c r="G556">
        <v>32286</v>
      </c>
      <c r="H556">
        <v>359210</v>
      </c>
      <c r="I556">
        <v>192601</v>
      </c>
      <c r="J556">
        <v>166609</v>
      </c>
    </row>
    <row r="557" spans="1:10" x14ac:dyDescent="0.25">
      <c r="A557" s="1">
        <v>44165</v>
      </c>
      <c r="B557" t="s">
        <v>12</v>
      </c>
      <c r="C557" t="s">
        <v>17</v>
      </c>
      <c r="D557">
        <v>129956</v>
      </c>
      <c r="E557">
        <v>136295</v>
      </c>
      <c r="F557">
        <v>-6339</v>
      </c>
      <c r="G557">
        <v>-16778</v>
      </c>
      <c r="H557">
        <v>621486</v>
      </c>
      <c r="I557">
        <v>703103</v>
      </c>
      <c r="J557">
        <v>-81617</v>
      </c>
    </row>
    <row r="558" spans="1:10" x14ac:dyDescent="0.25">
      <c r="A558" s="1">
        <v>44165</v>
      </c>
      <c r="B558" t="s">
        <v>13</v>
      </c>
      <c r="C558" t="s">
        <v>14</v>
      </c>
      <c r="D558">
        <v>139279</v>
      </c>
      <c r="E558">
        <v>83888</v>
      </c>
      <c r="F558">
        <v>55391</v>
      </c>
      <c r="G558">
        <v>49145</v>
      </c>
      <c r="H558">
        <v>261063</v>
      </c>
      <c r="I558">
        <v>354311</v>
      </c>
      <c r="J558">
        <v>-93248</v>
      </c>
    </row>
    <row r="559" spans="1:10" x14ac:dyDescent="0.25">
      <c r="A559" s="1">
        <v>44165</v>
      </c>
      <c r="B559" t="s">
        <v>13</v>
      </c>
      <c r="C559" t="s">
        <v>15</v>
      </c>
      <c r="D559">
        <v>135144</v>
      </c>
      <c r="E559">
        <v>112161</v>
      </c>
      <c r="F559">
        <v>22983</v>
      </c>
      <c r="G559">
        <v>3185</v>
      </c>
      <c r="H559">
        <v>719089</v>
      </c>
      <c r="I559">
        <v>308432</v>
      </c>
      <c r="J559">
        <v>410657</v>
      </c>
    </row>
    <row r="560" spans="1:10" x14ac:dyDescent="0.25">
      <c r="A560" s="1">
        <v>44165</v>
      </c>
      <c r="B560" t="s">
        <v>13</v>
      </c>
      <c r="C560" t="s">
        <v>16</v>
      </c>
      <c r="D560">
        <v>150979</v>
      </c>
      <c r="E560">
        <v>157661</v>
      </c>
      <c r="F560">
        <v>-6682</v>
      </c>
      <c r="G560">
        <v>-18661</v>
      </c>
      <c r="H560">
        <v>897960</v>
      </c>
      <c r="I560">
        <v>552776</v>
      </c>
      <c r="J560">
        <v>345184</v>
      </c>
    </row>
    <row r="561" spans="1:10" x14ac:dyDescent="0.25">
      <c r="A561" s="1">
        <v>44165</v>
      </c>
      <c r="B561" t="s">
        <v>13</v>
      </c>
      <c r="C561" t="s">
        <v>17</v>
      </c>
      <c r="D561">
        <v>178040</v>
      </c>
      <c r="E561">
        <v>121558</v>
      </c>
      <c r="F561">
        <v>56482</v>
      </c>
      <c r="G561">
        <v>47197</v>
      </c>
      <c r="H561">
        <v>469054</v>
      </c>
      <c r="I561">
        <v>659252</v>
      </c>
      <c r="J561">
        <v>-190198</v>
      </c>
    </row>
    <row r="562" spans="1:10" x14ac:dyDescent="0.25">
      <c r="A562" s="1">
        <v>44196</v>
      </c>
      <c r="B562" t="s">
        <v>10</v>
      </c>
      <c r="C562" t="s">
        <v>14</v>
      </c>
      <c r="D562">
        <v>185667</v>
      </c>
      <c r="E562">
        <v>85227</v>
      </c>
      <c r="F562">
        <v>100440</v>
      </c>
      <c r="G562">
        <v>89462</v>
      </c>
      <c r="H562">
        <v>521909</v>
      </c>
      <c r="I562">
        <v>732500</v>
      </c>
      <c r="J562">
        <v>-210591</v>
      </c>
    </row>
    <row r="563" spans="1:10" x14ac:dyDescent="0.25">
      <c r="A563" s="1">
        <v>44196</v>
      </c>
      <c r="B563" t="s">
        <v>10</v>
      </c>
      <c r="C563" t="s">
        <v>15</v>
      </c>
      <c r="D563">
        <v>139071</v>
      </c>
      <c r="E563">
        <v>129519</v>
      </c>
      <c r="F563">
        <v>9552</v>
      </c>
      <c r="G563">
        <v>-4951</v>
      </c>
      <c r="H563">
        <v>391775</v>
      </c>
      <c r="I563">
        <v>719745</v>
      </c>
      <c r="J563">
        <v>-327970</v>
      </c>
    </row>
    <row r="564" spans="1:10" x14ac:dyDescent="0.25">
      <c r="A564" s="1">
        <v>44196</v>
      </c>
      <c r="B564" t="s">
        <v>10</v>
      </c>
      <c r="C564" t="s">
        <v>16</v>
      </c>
      <c r="D564">
        <v>157866</v>
      </c>
      <c r="E564">
        <v>76905</v>
      </c>
      <c r="F564">
        <v>80961</v>
      </c>
      <c r="G564">
        <v>62891</v>
      </c>
      <c r="H564">
        <v>651495</v>
      </c>
      <c r="I564">
        <v>713777</v>
      </c>
      <c r="J564">
        <v>-62282</v>
      </c>
    </row>
    <row r="565" spans="1:10" x14ac:dyDescent="0.25">
      <c r="A565" s="1">
        <v>44196</v>
      </c>
      <c r="B565" t="s">
        <v>10</v>
      </c>
      <c r="C565" t="s">
        <v>17</v>
      </c>
      <c r="D565">
        <v>126806</v>
      </c>
      <c r="E565">
        <v>105000</v>
      </c>
      <c r="F565">
        <v>21806</v>
      </c>
      <c r="G565">
        <v>11022</v>
      </c>
      <c r="H565">
        <v>270119</v>
      </c>
      <c r="I565">
        <v>285165</v>
      </c>
      <c r="J565">
        <v>-15046</v>
      </c>
    </row>
    <row r="566" spans="1:10" x14ac:dyDescent="0.25">
      <c r="A566" s="1">
        <v>44196</v>
      </c>
      <c r="B566" t="s">
        <v>11</v>
      </c>
      <c r="C566" t="s">
        <v>14</v>
      </c>
      <c r="D566">
        <v>155419</v>
      </c>
      <c r="E566">
        <v>109145</v>
      </c>
      <c r="F566">
        <v>46274</v>
      </c>
      <c r="G566">
        <v>34146</v>
      </c>
      <c r="H566">
        <v>670641</v>
      </c>
      <c r="I566">
        <v>571027</v>
      </c>
      <c r="J566">
        <v>99614</v>
      </c>
    </row>
    <row r="567" spans="1:10" x14ac:dyDescent="0.25">
      <c r="A567" s="1">
        <v>44196</v>
      </c>
      <c r="B567" t="s">
        <v>11</v>
      </c>
      <c r="C567" t="s">
        <v>15</v>
      </c>
      <c r="D567">
        <v>102461</v>
      </c>
      <c r="E567">
        <v>74291</v>
      </c>
      <c r="F567">
        <v>28170</v>
      </c>
      <c r="G567">
        <v>9134</v>
      </c>
      <c r="H567">
        <v>284080</v>
      </c>
      <c r="I567">
        <v>352791</v>
      </c>
      <c r="J567">
        <v>-68711</v>
      </c>
    </row>
    <row r="568" spans="1:10" x14ac:dyDescent="0.25">
      <c r="A568" s="1">
        <v>44196</v>
      </c>
      <c r="B568" t="s">
        <v>11</v>
      </c>
      <c r="C568" t="s">
        <v>16</v>
      </c>
      <c r="D568">
        <v>161332</v>
      </c>
      <c r="E568">
        <v>137794</v>
      </c>
      <c r="F568">
        <v>23538</v>
      </c>
      <c r="G568">
        <v>4081</v>
      </c>
      <c r="H568">
        <v>324447</v>
      </c>
      <c r="I568">
        <v>220029</v>
      </c>
      <c r="J568">
        <v>104418</v>
      </c>
    </row>
    <row r="569" spans="1:10" x14ac:dyDescent="0.25">
      <c r="A569" s="1">
        <v>44196</v>
      </c>
      <c r="B569" t="s">
        <v>11</v>
      </c>
      <c r="C569" t="s">
        <v>17</v>
      </c>
      <c r="D569">
        <v>148758</v>
      </c>
      <c r="E569">
        <v>136272</v>
      </c>
      <c r="F569">
        <v>12486</v>
      </c>
      <c r="G569">
        <v>2611</v>
      </c>
      <c r="H569">
        <v>506094</v>
      </c>
      <c r="I569">
        <v>287921</v>
      </c>
      <c r="J569">
        <v>218173</v>
      </c>
    </row>
    <row r="570" spans="1:10" x14ac:dyDescent="0.25">
      <c r="A570" s="1">
        <v>44196</v>
      </c>
      <c r="B570" t="s">
        <v>12</v>
      </c>
      <c r="C570" t="s">
        <v>14</v>
      </c>
      <c r="D570">
        <v>128044</v>
      </c>
      <c r="E570">
        <v>75997</v>
      </c>
      <c r="F570">
        <v>52047</v>
      </c>
      <c r="G570">
        <v>32832</v>
      </c>
      <c r="H570">
        <v>822893</v>
      </c>
      <c r="I570">
        <v>444710</v>
      </c>
      <c r="J570">
        <v>378183</v>
      </c>
    </row>
    <row r="571" spans="1:10" x14ac:dyDescent="0.25">
      <c r="A571" s="1">
        <v>44196</v>
      </c>
      <c r="B571" t="s">
        <v>12</v>
      </c>
      <c r="C571" t="s">
        <v>15</v>
      </c>
      <c r="D571">
        <v>194870</v>
      </c>
      <c r="E571">
        <v>74571</v>
      </c>
      <c r="F571">
        <v>120299</v>
      </c>
      <c r="G571">
        <v>105348</v>
      </c>
      <c r="H571">
        <v>984586</v>
      </c>
      <c r="I571">
        <v>551157</v>
      </c>
      <c r="J571">
        <v>433429</v>
      </c>
    </row>
    <row r="572" spans="1:10" x14ac:dyDescent="0.25">
      <c r="A572" s="1">
        <v>44196</v>
      </c>
      <c r="B572" t="s">
        <v>12</v>
      </c>
      <c r="C572" t="s">
        <v>16</v>
      </c>
      <c r="D572">
        <v>158005</v>
      </c>
      <c r="E572">
        <v>146250</v>
      </c>
      <c r="F572">
        <v>11755</v>
      </c>
      <c r="G572">
        <v>-2805</v>
      </c>
      <c r="H572">
        <v>767829</v>
      </c>
      <c r="I572">
        <v>123387</v>
      </c>
      <c r="J572">
        <v>644442</v>
      </c>
    </row>
    <row r="573" spans="1:10" x14ac:dyDescent="0.25">
      <c r="A573" s="1">
        <v>44196</v>
      </c>
      <c r="B573" t="s">
        <v>12</v>
      </c>
      <c r="C573" t="s">
        <v>17</v>
      </c>
      <c r="D573">
        <v>193980</v>
      </c>
      <c r="E573">
        <v>108908</v>
      </c>
      <c r="F573">
        <v>85072</v>
      </c>
      <c r="G573">
        <v>76535</v>
      </c>
      <c r="H573">
        <v>344129</v>
      </c>
      <c r="I573">
        <v>688316</v>
      </c>
      <c r="J573">
        <v>-344187</v>
      </c>
    </row>
    <row r="574" spans="1:10" x14ac:dyDescent="0.25">
      <c r="A574" s="1">
        <v>44196</v>
      </c>
      <c r="B574" t="s">
        <v>13</v>
      </c>
      <c r="C574" t="s">
        <v>14</v>
      </c>
      <c r="D574">
        <v>155731</v>
      </c>
      <c r="E574">
        <v>84858</v>
      </c>
      <c r="F574">
        <v>70873</v>
      </c>
      <c r="G574">
        <v>54003</v>
      </c>
      <c r="H574">
        <v>684814</v>
      </c>
      <c r="I574">
        <v>277558</v>
      </c>
      <c r="J574">
        <v>407256</v>
      </c>
    </row>
    <row r="575" spans="1:10" x14ac:dyDescent="0.25">
      <c r="A575" s="1">
        <v>44196</v>
      </c>
      <c r="B575" t="s">
        <v>13</v>
      </c>
      <c r="C575" t="s">
        <v>15</v>
      </c>
      <c r="D575">
        <v>120567</v>
      </c>
      <c r="E575">
        <v>89739</v>
      </c>
      <c r="F575">
        <v>30828</v>
      </c>
      <c r="G575">
        <v>17176</v>
      </c>
      <c r="H575">
        <v>570965</v>
      </c>
      <c r="I575">
        <v>103754</v>
      </c>
      <c r="J575">
        <v>467211</v>
      </c>
    </row>
    <row r="576" spans="1:10" x14ac:dyDescent="0.25">
      <c r="A576" s="1">
        <v>44196</v>
      </c>
      <c r="B576" t="s">
        <v>13</v>
      </c>
      <c r="C576" t="s">
        <v>16</v>
      </c>
      <c r="D576">
        <v>127044</v>
      </c>
      <c r="E576">
        <v>127260</v>
      </c>
      <c r="F576">
        <v>-216</v>
      </c>
      <c r="G576">
        <v>-6592</v>
      </c>
      <c r="H576">
        <v>456695</v>
      </c>
      <c r="I576">
        <v>632994</v>
      </c>
      <c r="J576">
        <v>-176299</v>
      </c>
    </row>
    <row r="577" spans="1:10" x14ac:dyDescent="0.25">
      <c r="A577" s="1">
        <v>44196</v>
      </c>
      <c r="B577" t="s">
        <v>13</v>
      </c>
      <c r="C577" t="s">
        <v>17</v>
      </c>
      <c r="D577">
        <v>108894</v>
      </c>
      <c r="E577">
        <v>78037</v>
      </c>
      <c r="F577">
        <v>30857</v>
      </c>
      <c r="G577">
        <v>23791</v>
      </c>
      <c r="H577">
        <v>906972</v>
      </c>
      <c r="I577">
        <v>129725</v>
      </c>
      <c r="J577">
        <v>777247</v>
      </c>
    </row>
    <row r="578" spans="1:10" x14ac:dyDescent="0.25">
      <c r="A578" s="1">
        <v>44227</v>
      </c>
      <c r="B578" t="s">
        <v>10</v>
      </c>
      <c r="C578" t="s">
        <v>14</v>
      </c>
      <c r="D578">
        <v>105926</v>
      </c>
      <c r="E578">
        <v>69496</v>
      </c>
      <c r="F578">
        <v>36430</v>
      </c>
      <c r="G578">
        <v>24135</v>
      </c>
      <c r="H578">
        <v>885166</v>
      </c>
      <c r="I578">
        <v>665609</v>
      </c>
      <c r="J578">
        <v>219557</v>
      </c>
    </row>
    <row r="579" spans="1:10" x14ac:dyDescent="0.25">
      <c r="A579" s="1">
        <v>44227</v>
      </c>
      <c r="B579" t="s">
        <v>10</v>
      </c>
      <c r="C579" t="s">
        <v>15</v>
      </c>
      <c r="D579">
        <v>165095</v>
      </c>
      <c r="E579">
        <v>82656</v>
      </c>
      <c r="F579">
        <v>82439</v>
      </c>
      <c r="G579">
        <v>71444</v>
      </c>
      <c r="H579">
        <v>815684</v>
      </c>
      <c r="I579">
        <v>542882</v>
      </c>
      <c r="J579">
        <v>272802</v>
      </c>
    </row>
    <row r="580" spans="1:10" x14ac:dyDescent="0.25">
      <c r="A580" s="1">
        <v>44227</v>
      </c>
      <c r="B580" t="s">
        <v>10</v>
      </c>
      <c r="C580" t="s">
        <v>16</v>
      </c>
      <c r="D580">
        <v>182368</v>
      </c>
      <c r="E580">
        <v>98787</v>
      </c>
      <c r="F580">
        <v>83581</v>
      </c>
      <c r="G580">
        <v>64787</v>
      </c>
      <c r="H580">
        <v>746015</v>
      </c>
      <c r="I580">
        <v>195081</v>
      </c>
      <c r="J580">
        <v>550934</v>
      </c>
    </row>
    <row r="581" spans="1:10" x14ac:dyDescent="0.25">
      <c r="A581" s="1">
        <v>44227</v>
      </c>
      <c r="B581" t="s">
        <v>10</v>
      </c>
      <c r="C581" t="s">
        <v>17</v>
      </c>
      <c r="D581">
        <v>168056</v>
      </c>
      <c r="E581">
        <v>63081</v>
      </c>
      <c r="F581">
        <v>104975</v>
      </c>
      <c r="G581">
        <v>98547</v>
      </c>
      <c r="H581">
        <v>892095</v>
      </c>
      <c r="I581">
        <v>180102</v>
      </c>
      <c r="J581">
        <v>711993</v>
      </c>
    </row>
    <row r="582" spans="1:10" x14ac:dyDescent="0.25">
      <c r="A582" s="1">
        <v>44227</v>
      </c>
      <c r="B582" t="s">
        <v>11</v>
      </c>
      <c r="C582" t="s">
        <v>14</v>
      </c>
      <c r="D582">
        <v>179578</v>
      </c>
      <c r="E582">
        <v>85498</v>
      </c>
      <c r="F582">
        <v>94080</v>
      </c>
      <c r="G582">
        <v>77751</v>
      </c>
      <c r="H582">
        <v>887016</v>
      </c>
      <c r="I582">
        <v>167695</v>
      </c>
      <c r="J582">
        <v>719321</v>
      </c>
    </row>
    <row r="583" spans="1:10" x14ac:dyDescent="0.25">
      <c r="A583" s="1">
        <v>44227</v>
      </c>
      <c r="B583" t="s">
        <v>11</v>
      </c>
      <c r="C583" t="s">
        <v>15</v>
      </c>
      <c r="D583">
        <v>137900</v>
      </c>
      <c r="E583">
        <v>144899</v>
      </c>
      <c r="F583">
        <v>-6999</v>
      </c>
      <c r="G583">
        <v>-26932</v>
      </c>
      <c r="H583">
        <v>833065</v>
      </c>
      <c r="I583">
        <v>119033</v>
      </c>
      <c r="J583">
        <v>714032</v>
      </c>
    </row>
    <row r="584" spans="1:10" x14ac:dyDescent="0.25">
      <c r="A584" s="1">
        <v>44227</v>
      </c>
      <c r="B584" t="s">
        <v>11</v>
      </c>
      <c r="C584" t="s">
        <v>16</v>
      </c>
      <c r="D584">
        <v>110805</v>
      </c>
      <c r="E584">
        <v>95851</v>
      </c>
      <c r="F584">
        <v>14954</v>
      </c>
      <c r="G584">
        <v>-494</v>
      </c>
      <c r="H584">
        <v>394509</v>
      </c>
      <c r="I584">
        <v>477869</v>
      </c>
      <c r="J584">
        <v>-83360</v>
      </c>
    </row>
    <row r="585" spans="1:10" x14ac:dyDescent="0.25">
      <c r="A585" s="1">
        <v>44227</v>
      </c>
      <c r="B585" t="s">
        <v>11</v>
      </c>
      <c r="C585" t="s">
        <v>17</v>
      </c>
      <c r="D585">
        <v>113944</v>
      </c>
      <c r="E585">
        <v>79873</v>
      </c>
      <c r="F585">
        <v>34071</v>
      </c>
      <c r="G585">
        <v>21467</v>
      </c>
      <c r="H585">
        <v>289464</v>
      </c>
      <c r="I585">
        <v>770739</v>
      </c>
      <c r="J585">
        <v>-481275</v>
      </c>
    </row>
    <row r="586" spans="1:10" x14ac:dyDescent="0.25">
      <c r="A586" s="1">
        <v>44227</v>
      </c>
      <c r="B586" t="s">
        <v>12</v>
      </c>
      <c r="C586" t="s">
        <v>14</v>
      </c>
      <c r="D586">
        <v>136751</v>
      </c>
      <c r="E586">
        <v>149822</v>
      </c>
      <c r="F586">
        <v>-13071</v>
      </c>
      <c r="G586">
        <v>-23181</v>
      </c>
      <c r="H586">
        <v>647557</v>
      </c>
      <c r="I586">
        <v>516978</v>
      </c>
      <c r="J586">
        <v>130579</v>
      </c>
    </row>
    <row r="587" spans="1:10" x14ac:dyDescent="0.25">
      <c r="A587" s="1">
        <v>44227</v>
      </c>
      <c r="B587" t="s">
        <v>12</v>
      </c>
      <c r="C587" t="s">
        <v>15</v>
      </c>
      <c r="D587">
        <v>182617</v>
      </c>
      <c r="E587">
        <v>69596</v>
      </c>
      <c r="F587">
        <v>113021</v>
      </c>
      <c r="G587">
        <v>102770</v>
      </c>
      <c r="H587">
        <v>831827</v>
      </c>
      <c r="I587">
        <v>642601</v>
      </c>
      <c r="J587">
        <v>189226</v>
      </c>
    </row>
    <row r="588" spans="1:10" x14ac:dyDescent="0.25">
      <c r="A588" s="1">
        <v>44227</v>
      </c>
      <c r="B588" t="s">
        <v>12</v>
      </c>
      <c r="C588" t="s">
        <v>16</v>
      </c>
      <c r="D588">
        <v>166549</v>
      </c>
      <c r="E588">
        <v>83705</v>
      </c>
      <c r="F588">
        <v>82844</v>
      </c>
      <c r="G588">
        <v>76016</v>
      </c>
      <c r="H588">
        <v>303892</v>
      </c>
      <c r="I588">
        <v>364167</v>
      </c>
      <c r="J588">
        <v>-60275</v>
      </c>
    </row>
    <row r="589" spans="1:10" x14ac:dyDescent="0.25">
      <c r="A589" s="1">
        <v>44227</v>
      </c>
      <c r="B589" t="s">
        <v>12</v>
      </c>
      <c r="C589" t="s">
        <v>17</v>
      </c>
      <c r="D589">
        <v>159796</v>
      </c>
      <c r="E589">
        <v>140073</v>
      </c>
      <c r="F589">
        <v>19723</v>
      </c>
      <c r="G589">
        <v>4446</v>
      </c>
      <c r="H589">
        <v>788717</v>
      </c>
      <c r="I589">
        <v>204195</v>
      </c>
      <c r="J589">
        <v>584522</v>
      </c>
    </row>
    <row r="590" spans="1:10" x14ac:dyDescent="0.25">
      <c r="A590" s="1">
        <v>44227</v>
      </c>
      <c r="B590" t="s">
        <v>13</v>
      </c>
      <c r="C590" t="s">
        <v>14</v>
      </c>
      <c r="D590">
        <v>161627</v>
      </c>
      <c r="E590">
        <v>93848</v>
      </c>
      <c r="F590">
        <v>67779</v>
      </c>
      <c r="G590">
        <v>57743</v>
      </c>
      <c r="H590">
        <v>489910</v>
      </c>
      <c r="I590">
        <v>168099</v>
      </c>
      <c r="J590">
        <v>321811</v>
      </c>
    </row>
    <row r="591" spans="1:10" x14ac:dyDescent="0.25">
      <c r="A591" s="1">
        <v>44227</v>
      </c>
      <c r="B591" t="s">
        <v>13</v>
      </c>
      <c r="C591" t="s">
        <v>15</v>
      </c>
      <c r="D591">
        <v>136060</v>
      </c>
      <c r="E591">
        <v>154733</v>
      </c>
      <c r="F591">
        <v>-18673</v>
      </c>
      <c r="G591">
        <v>-27259</v>
      </c>
      <c r="H591">
        <v>871447</v>
      </c>
      <c r="I591">
        <v>673156</v>
      </c>
      <c r="J591">
        <v>198291</v>
      </c>
    </row>
    <row r="592" spans="1:10" x14ac:dyDescent="0.25">
      <c r="A592" s="1">
        <v>44227</v>
      </c>
      <c r="B592" t="s">
        <v>13</v>
      </c>
      <c r="C592" t="s">
        <v>16</v>
      </c>
      <c r="D592">
        <v>123225</v>
      </c>
      <c r="E592">
        <v>155286</v>
      </c>
      <c r="F592">
        <v>-32061</v>
      </c>
      <c r="G592">
        <v>-43704</v>
      </c>
      <c r="H592">
        <v>686275</v>
      </c>
      <c r="I592">
        <v>398871</v>
      </c>
      <c r="J592">
        <v>287404</v>
      </c>
    </row>
    <row r="593" spans="1:10" x14ac:dyDescent="0.25">
      <c r="A593" s="1">
        <v>44227</v>
      </c>
      <c r="B593" t="s">
        <v>13</v>
      </c>
      <c r="C593" t="s">
        <v>17</v>
      </c>
      <c r="D593">
        <v>111005</v>
      </c>
      <c r="E593">
        <v>125697</v>
      </c>
      <c r="F593">
        <v>-14692</v>
      </c>
      <c r="G593">
        <v>-20285</v>
      </c>
      <c r="H593">
        <v>607442</v>
      </c>
      <c r="I593">
        <v>294718</v>
      </c>
      <c r="J593">
        <v>312724</v>
      </c>
    </row>
    <row r="594" spans="1:10" x14ac:dyDescent="0.25">
      <c r="A594" s="1">
        <v>44255</v>
      </c>
      <c r="B594" t="s">
        <v>10</v>
      </c>
      <c r="C594" t="s">
        <v>14</v>
      </c>
      <c r="D594">
        <v>160603</v>
      </c>
      <c r="E594">
        <v>88731</v>
      </c>
      <c r="F594">
        <v>71872</v>
      </c>
      <c r="G594">
        <v>55718</v>
      </c>
      <c r="H594">
        <v>268926</v>
      </c>
      <c r="I594">
        <v>761357</v>
      </c>
      <c r="J594">
        <v>-492431</v>
      </c>
    </row>
    <row r="595" spans="1:10" x14ac:dyDescent="0.25">
      <c r="A595" s="1">
        <v>44255</v>
      </c>
      <c r="B595" t="s">
        <v>10</v>
      </c>
      <c r="C595" t="s">
        <v>15</v>
      </c>
      <c r="D595">
        <v>155506</v>
      </c>
      <c r="E595">
        <v>138229</v>
      </c>
      <c r="F595">
        <v>17277</v>
      </c>
      <c r="G595">
        <v>11614</v>
      </c>
      <c r="H595">
        <v>242092</v>
      </c>
      <c r="I595">
        <v>424683</v>
      </c>
      <c r="J595">
        <v>-182591</v>
      </c>
    </row>
    <row r="596" spans="1:10" x14ac:dyDescent="0.25">
      <c r="A596" s="1">
        <v>44255</v>
      </c>
      <c r="B596" t="s">
        <v>10</v>
      </c>
      <c r="C596" t="s">
        <v>16</v>
      </c>
      <c r="D596">
        <v>166077</v>
      </c>
      <c r="E596">
        <v>81817</v>
      </c>
      <c r="F596">
        <v>84260</v>
      </c>
      <c r="G596">
        <v>74167</v>
      </c>
      <c r="H596">
        <v>737716</v>
      </c>
      <c r="I596">
        <v>275006</v>
      </c>
      <c r="J596">
        <v>462710</v>
      </c>
    </row>
    <row r="597" spans="1:10" x14ac:dyDescent="0.25">
      <c r="A597" s="1">
        <v>44255</v>
      </c>
      <c r="B597" t="s">
        <v>10</v>
      </c>
      <c r="C597" t="s">
        <v>17</v>
      </c>
      <c r="D597">
        <v>110258</v>
      </c>
      <c r="E597">
        <v>117775</v>
      </c>
      <c r="F597">
        <v>-7517</v>
      </c>
      <c r="G597">
        <v>-25544</v>
      </c>
      <c r="H597">
        <v>467613</v>
      </c>
      <c r="I597">
        <v>390998</v>
      </c>
      <c r="J597">
        <v>76615</v>
      </c>
    </row>
    <row r="598" spans="1:10" x14ac:dyDescent="0.25">
      <c r="A598" s="1">
        <v>44255</v>
      </c>
      <c r="B598" t="s">
        <v>11</v>
      </c>
      <c r="C598" t="s">
        <v>14</v>
      </c>
      <c r="D598">
        <v>106256</v>
      </c>
      <c r="E598">
        <v>136256</v>
      </c>
      <c r="F598">
        <v>-30000</v>
      </c>
      <c r="G598">
        <v>-36169</v>
      </c>
      <c r="H598">
        <v>561278</v>
      </c>
      <c r="I598">
        <v>757011</v>
      </c>
      <c r="J598">
        <v>-195733</v>
      </c>
    </row>
    <row r="599" spans="1:10" x14ac:dyDescent="0.25">
      <c r="A599" s="1">
        <v>44255</v>
      </c>
      <c r="B599" t="s">
        <v>11</v>
      </c>
      <c r="C599" t="s">
        <v>15</v>
      </c>
      <c r="D599">
        <v>150288</v>
      </c>
      <c r="E599">
        <v>144730</v>
      </c>
      <c r="F599">
        <v>5558</v>
      </c>
      <c r="G599">
        <v>-8109</v>
      </c>
      <c r="H599">
        <v>489530</v>
      </c>
      <c r="I599">
        <v>342634</v>
      </c>
      <c r="J599">
        <v>146896</v>
      </c>
    </row>
    <row r="600" spans="1:10" x14ac:dyDescent="0.25">
      <c r="A600" s="1">
        <v>44255</v>
      </c>
      <c r="B600" t="s">
        <v>11</v>
      </c>
      <c r="C600" t="s">
        <v>16</v>
      </c>
      <c r="D600">
        <v>116184</v>
      </c>
      <c r="E600">
        <v>93787</v>
      </c>
      <c r="F600">
        <v>22397</v>
      </c>
      <c r="G600">
        <v>12160</v>
      </c>
      <c r="H600">
        <v>802272</v>
      </c>
      <c r="I600">
        <v>553008</v>
      </c>
      <c r="J600">
        <v>249264</v>
      </c>
    </row>
    <row r="601" spans="1:10" x14ac:dyDescent="0.25">
      <c r="A601" s="1">
        <v>44255</v>
      </c>
      <c r="B601" t="s">
        <v>11</v>
      </c>
      <c r="C601" t="s">
        <v>17</v>
      </c>
      <c r="D601">
        <v>145253</v>
      </c>
      <c r="E601">
        <v>94051</v>
      </c>
      <c r="F601">
        <v>51202</v>
      </c>
      <c r="G601">
        <v>45543</v>
      </c>
      <c r="H601">
        <v>230447</v>
      </c>
      <c r="I601">
        <v>228046</v>
      </c>
      <c r="J601">
        <v>2401</v>
      </c>
    </row>
    <row r="602" spans="1:10" x14ac:dyDescent="0.25">
      <c r="A602" s="1">
        <v>44255</v>
      </c>
      <c r="B602" t="s">
        <v>12</v>
      </c>
      <c r="C602" t="s">
        <v>14</v>
      </c>
      <c r="D602">
        <v>183930</v>
      </c>
      <c r="E602">
        <v>90254</v>
      </c>
      <c r="F602">
        <v>93676</v>
      </c>
      <c r="G602">
        <v>86551</v>
      </c>
      <c r="H602">
        <v>841147</v>
      </c>
      <c r="I602">
        <v>288490</v>
      </c>
      <c r="J602">
        <v>552657</v>
      </c>
    </row>
    <row r="603" spans="1:10" x14ac:dyDescent="0.25">
      <c r="A603" s="1">
        <v>44255</v>
      </c>
      <c r="B603" t="s">
        <v>12</v>
      </c>
      <c r="C603" t="s">
        <v>15</v>
      </c>
      <c r="D603">
        <v>114472</v>
      </c>
      <c r="E603">
        <v>63471</v>
      </c>
      <c r="F603">
        <v>51001</v>
      </c>
      <c r="G603">
        <v>36973</v>
      </c>
      <c r="H603">
        <v>844600</v>
      </c>
      <c r="I603">
        <v>616595</v>
      </c>
      <c r="J603">
        <v>228005</v>
      </c>
    </row>
    <row r="604" spans="1:10" x14ac:dyDescent="0.25">
      <c r="A604" s="1">
        <v>44255</v>
      </c>
      <c r="B604" t="s">
        <v>12</v>
      </c>
      <c r="C604" t="s">
        <v>16</v>
      </c>
      <c r="D604">
        <v>195804</v>
      </c>
      <c r="E604">
        <v>68329</v>
      </c>
      <c r="F604">
        <v>127475</v>
      </c>
      <c r="G604">
        <v>120378</v>
      </c>
      <c r="H604">
        <v>246850</v>
      </c>
      <c r="I604">
        <v>416364</v>
      </c>
      <c r="J604">
        <v>-169514</v>
      </c>
    </row>
    <row r="605" spans="1:10" x14ac:dyDescent="0.25">
      <c r="A605" s="1">
        <v>44255</v>
      </c>
      <c r="B605" t="s">
        <v>12</v>
      </c>
      <c r="C605" t="s">
        <v>17</v>
      </c>
      <c r="D605">
        <v>193808</v>
      </c>
      <c r="E605">
        <v>66397</v>
      </c>
      <c r="F605">
        <v>127411</v>
      </c>
      <c r="G605">
        <v>108095</v>
      </c>
      <c r="H605">
        <v>890885</v>
      </c>
      <c r="I605">
        <v>153072</v>
      </c>
      <c r="J605">
        <v>737813</v>
      </c>
    </row>
    <row r="606" spans="1:10" x14ac:dyDescent="0.25">
      <c r="A606" s="1">
        <v>44255</v>
      </c>
      <c r="B606" t="s">
        <v>13</v>
      </c>
      <c r="C606" t="s">
        <v>14</v>
      </c>
      <c r="D606">
        <v>190106</v>
      </c>
      <c r="E606">
        <v>143820</v>
      </c>
      <c r="F606">
        <v>46286</v>
      </c>
      <c r="G606">
        <v>38676</v>
      </c>
      <c r="H606">
        <v>223284</v>
      </c>
      <c r="I606">
        <v>183369</v>
      </c>
      <c r="J606">
        <v>39915</v>
      </c>
    </row>
    <row r="607" spans="1:10" x14ac:dyDescent="0.25">
      <c r="A607" s="1">
        <v>44255</v>
      </c>
      <c r="B607" t="s">
        <v>13</v>
      </c>
      <c r="C607" t="s">
        <v>15</v>
      </c>
      <c r="D607">
        <v>125122</v>
      </c>
      <c r="E607">
        <v>130553</v>
      </c>
      <c r="F607">
        <v>-5431</v>
      </c>
      <c r="G607">
        <v>-23299</v>
      </c>
      <c r="H607">
        <v>787100</v>
      </c>
      <c r="I607">
        <v>370143</v>
      </c>
      <c r="J607">
        <v>416957</v>
      </c>
    </row>
    <row r="608" spans="1:10" x14ac:dyDescent="0.25">
      <c r="A608" s="1">
        <v>44255</v>
      </c>
      <c r="B608" t="s">
        <v>13</v>
      </c>
      <c r="C608" t="s">
        <v>16</v>
      </c>
      <c r="D608">
        <v>122436</v>
      </c>
      <c r="E608">
        <v>102963</v>
      </c>
      <c r="F608">
        <v>19473</v>
      </c>
      <c r="G608">
        <v>12377</v>
      </c>
      <c r="H608">
        <v>723156</v>
      </c>
      <c r="I608">
        <v>518495</v>
      </c>
      <c r="J608">
        <v>204661</v>
      </c>
    </row>
    <row r="609" spans="1:10" x14ac:dyDescent="0.25">
      <c r="A609" s="1">
        <v>44255</v>
      </c>
      <c r="B609" t="s">
        <v>13</v>
      </c>
      <c r="C609" t="s">
        <v>17</v>
      </c>
      <c r="D609">
        <v>126201</v>
      </c>
      <c r="E609">
        <v>79715</v>
      </c>
      <c r="F609">
        <v>46486</v>
      </c>
      <c r="G609">
        <v>28561</v>
      </c>
      <c r="H609">
        <v>870438</v>
      </c>
      <c r="I609">
        <v>549830</v>
      </c>
      <c r="J609">
        <v>320608</v>
      </c>
    </row>
    <row r="610" spans="1:10" x14ac:dyDescent="0.25">
      <c r="A610" s="1">
        <v>44286</v>
      </c>
      <c r="B610" t="s">
        <v>10</v>
      </c>
      <c r="C610" t="s">
        <v>14</v>
      </c>
      <c r="D610">
        <v>105105</v>
      </c>
      <c r="E610">
        <v>154848</v>
      </c>
      <c r="F610">
        <v>-49743</v>
      </c>
      <c r="G610">
        <v>-57582</v>
      </c>
      <c r="H610">
        <v>268920</v>
      </c>
      <c r="I610">
        <v>667109</v>
      </c>
      <c r="J610">
        <v>-398189</v>
      </c>
    </row>
    <row r="611" spans="1:10" x14ac:dyDescent="0.25">
      <c r="A611" s="1">
        <v>44286</v>
      </c>
      <c r="B611" t="s">
        <v>10</v>
      </c>
      <c r="C611" t="s">
        <v>15</v>
      </c>
      <c r="D611">
        <v>113493</v>
      </c>
      <c r="E611">
        <v>77069</v>
      </c>
      <c r="F611">
        <v>36424</v>
      </c>
      <c r="G611">
        <v>17285</v>
      </c>
      <c r="H611">
        <v>207531</v>
      </c>
      <c r="I611">
        <v>530267</v>
      </c>
      <c r="J611">
        <v>-322736</v>
      </c>
    </row>
    <row r="612" spans="1:10" x14ac:dyDescent="0.25">
      <c r="A612" s="1">
        <v>44286</v>
      </c>
      <c r="B612" t="s">
        <v>10</v>
      </c>
      <c r="C612" t="s">
        <v>16</v>
      </c>
      <c r="D612">
        <v>107736</v>
      </c>
      <c r="E612">
        <v>67710</v>
      </c>
      <c r="F612">
        <v>40026</v>
      </c>
      <c r="G612">
        <v>33407</v>
      </c>
      <c r="H612">
        <v>786712</v>
      </c>
      <c r="I612">
        <v>407747</v>
      </c>
      <c r="J612">
        <v>378965</v>
      </c>
    </row>
    <row r="613" spans="1:10" x14ac:dyDescent="0.25">
      <c r="A613" s="1">
        <v>44286</v>
      </c>
      <c r="B613" t="s">
        <v>10</v>
      </c>
      <c r="C613" t="s">
        <v>17</v>
      </c>
      <c r="D613">
        <v>123252</v>
      </c>
      <c r="E613">
        <v>140797</v>
      </c>
      <c r="F613">
        <v>-17545</v>
      </c>
      <c r="G613">
        <v>-23976</v>
      </c>
      <c r="H613">
        <v>929963</v>
      </c>
      <c r="I613">
        <v>792841</v>
      </c>
      <c r="J613">
        <v>137122</v>
      </c>
    </row>
    <row r="614" spans="1:10" x14ac:dyDescent="0.25">
      <c r="A614" s="1">
        <v>44286</v>
      </c>
      <c r="B614" t="s">
        <v>11</v>
      </c>
      <c r="C614" t="s">
        <v>14</v>
      </c>
      <c r="D614">
        <v>192573</v>
      </c>
      <c r="E614">
        <v>69557</v>
      </c>
      <c r="F614">
        <v>123016</v>
      </c>
      <c r="G614">
        <v>108581</v>
      </c>
      <c r="H614">
        <v>565446</v>
      </c>
      <c r="I614">
        <v>755522</v>
      </c>
      <c r="J614">
        <v>-190076</v>
      </c>
    </row>
    <row r="615" spans="1:10" x14ac:dyDescent="0.25">
      <c r="A615" s="1">
        <v>44286</v>
      </c>
      <c r="B615" t="s">
        <v>11</v>
      </c>
      <c r="C615" t="s">
        <v>15</v>
      </c>
      <c r="D615">
        <v>134742</v>
      </c>
      <c r="E615">
        <v>79675</v>
      </c>
      <c r="F615">
        <v>55067</v>
      </c>
      <c r="G615">
        <v>41606</v>
      </c>
      <c r="H615">
        <v>348087</v>
      </c>
      <c r="I615">
        <v>586799</v>
      </c>
      <c r="J615">
        <v>-238712</v>
      </c>
    </row>
    <row r="616" spans="1:10" x14ac:dyDescent="0.25">
      <c r="A616" s="1">
        <v>44286</v>
      </c>
      <c r="B616" t="s">
        <v>11</v>
      </c>
      <c r="C616" t="s">
        <v>16</v>
      </c>
      <c r="D616">
        <v>109833</v>
      </c>
      <c r="E616">
        <v>67896</v>
      </c>
      <c r="F616">
        <v>41937</v>
      </c>
      <c r="G616">
        <v>36733</v>
      </c>
      <c r="H616">
        <v>511877</v>
      </c>
      <c r="I616">
        <v>666088</v>
      </c>
      <c r="J616">
        <v>-154211</v>
      </c>
    </row>
    <row r="617" spans="1:10" x14ac:dyDescent="0.25">
      <c r="A617" s="1">
        <v>44286</v>
      </c>
      <c r="B617" t="s">
        <v>11</v>
      </c>
      <c r="C617" t="s">
        <v>17</v>
      </c>
      <c r="D617">
        <v>196044</v>
      </c>
      <c r="E617">
        <v>65347</v>
      </c>
      <c r="F617">
        <v>130697</v>
      </c>
      <c r="G617">
        <v>115786</v>
      </c>
      <c r="H617">
        <v>689066</v>
      </c>
      <c r="I617">
        <v>758003</v>
      </c>
      <c r="J617">
        <v>-68937</v>
      </c>
    </row>
    <row r="618" spans="1:10" x14ac:dyDescent="0.25">
      <c r="A618" s="1">
        <v>44286</v>
      </c>
      <c r="B618" t="s">
        <v>12</v>
      </c>
      <c r="C618" t="s">
        <v>14</v>
      </c>
      <c r="D618">
        <v>140785</v>
      </c>
      <c r="E618">
        <v>78681</v>
      </c>
      <c r="F618">
        <v>62104</v>
      </c>
      <c r="G618">
        <v>56230</v>
      </c>
      <c r="H618">
        <v>566008</v>
      </c>
      <c r="I618">
        <v>117073</v>
      </c>
      <c r="J618">
        <v>448935</v>
      </c>
    </row>
    <row r="619" spans="1:10" x14ac:dyDescent="0.25">
      <c r="A619" s="1">
        <v>44286</v>
      </c>
      <c r="B619" t="s">
        <v>12</v>
      </c>
      <c r="C619" t="s">
        <v>15</v>
      </c>
      <c r="D619">
        <v>130682</v>
      </c>
      <c r="E619">
        <v>157798</v>
      </c>
      <c r="F619">
        <v>-27116</v>
      </c>
      <c r="G619">
        <v>-43449</v>
      </c>
      <c r="H619">
        <v>952254</v>
      </c>
      <c r="I619">
        <v>507505</v>
      </c>
      <c r="J619">
        <v>444749</v>
      </c>
    </row>
    <row r="620" spans="1:10" x14ac:dyDescent="0.25">
      <c r="A620" s="1">
        <v>44286</v>
      </c>
      <c r="B620" t="s">
        <v>12</v>
      </c>
      <c r="C620" t="s">
        <v>16</v>
      </c>
      <c r="D620">
        <v>107927</v>
      </c>
      <c r="E620">
        <v>108330</v>
      </c>
      <c r="F620">
        <v>-403</v>
      </c>
      <c r="G620">
        <v>-6574</v>
      </c>
      <c r="H620">
        <v>451351</v>
      </c>
      <c r="I620">
        <v>570670</v>
      </c>
      <c r="J620">
        <v>-119319</v>
      </c>
    </row>
    <row r="621" spans="1:10" x14ac:dyDescent="0.25">
      <c r="A621" s="1">
        <v>44286</v>
      </c>
      <c r="B621" t="s">
        <v>12</v>
      </c>
      <c r="C621" t="s">
        <v>17</v>
      </c>
      <c r="D621">
        <v>165428</v>
      </c>
      <c r="E621">
        <v>110601</v>
      </c>
      <c r="F621">
        <v>54827</v>
      </c>
      <c r="G621">
        <v>37898</v>
      </c>
      <c r="H621">
        <v>595755</v>
      </c>
      <c r="I621">
        <v>595479</v>
      </c>
      <c r="J621">
        <v>276</v>
      </c>
    </row>
    <row r="622" spans="1:10" x14ac:dyDescent="0.25">
      <c r="A622" s="1">
        <v>44286</v>
      </c>
      <c r="B622" t="s">
        <v>13</v>
      </c>
      <c r="C622" t="s">
        <v>14</v>
      </c>
      <c r="D622">
        <v>122669</v>
      </c>
      <c r="E622">
        <v>130968</v>
      </c>
      <c r="F622">
        <v>-8299</v>
      </c>
      <c r="G622">
        <v>-17559</v>
      </c>
      <c r="H622">
        <v>611961</v>
      </c>
      <c r="I622">
        <v>351924</v>
      </c>
      <c r="J622">
        <v>260037</v>
      </c>
    </row>
    <row r="623" spans="1:10" x14ac:dyDescent="0.25">
      <c r="A623" s="1">
        <v>44286</v>
      </c>
      <c r="B623" t="s">
        <v>13</v>
      </c>
      <c r="C623" t="s">
        <v>15</v>
      </c>
      <c r="D623">
        <v>128228</v>
      </c>
      <c r="E623">
        <v>94521</v>
      </c>
      <c r="F623">
        <v>33707</v>
      </c>
      <c r="G623">
        <v>20607</v>
      </c>
      <c r="H623">
        <v>821527</v>
      </c>
      <c r="I623">
        <v>651216</v>
      </c>
      <c r="J623">
        <v>170311</v>
      </c>
    </row>
    <row r="624" spans="1:10" x14ac:dyDescent="0.25">
      <c r="A624" s="1">
        <v>44286</v>
      </c>
      <c r="B624" t="s">
        <v>13</v>
      </c>
      <c r="C624" t="s">
        <v>16</v>
      </c>
      <c r="D624">
        <v>118322</v>
      </c>
      <c r="E624">
        <v>117714</v>
      </c>
      <c r="F624">
        <v>608</v>
      </c>
      <c r="G624">
        <v>-10368</v>
      </c>
      <c r="H624">
        <v>262292</v>
      </c>
      <c r="I624">
        <v>653343</v>
      </c>
      <c r="J624">
        <v>-391051</v>
      </c>
    </row>
    <row r="625" spans="1:10" x14ac:dyDescent="0.25">
      <c r="A625" s="1">
        <v>44286</v>
      </c>
      <c r="B625" t="s">
        <v>13</v>
      </c>
      <c r="C625" t="s">
        <v>17</v>
      </c>
      <c r="D625">
        <v>142891</v>
      </c>
      <c r="E625">
        <v>141912</v>
      </c>
      <c r="F625">
        <v>979</v>
      </c>
      <c r="G625">
        <v>-10609</v>
      </c>
      <c r="H625">
        <v>552680</v>
      </c>
      <c r="I625">
        <v>368448</v>
      </c>
      <c r="J625">
        <v>184232</v>
      </c>
    </row>
    <row r="626" spans="1:10" x14ac:dyDescent="0.25">
      <c r="A626" s="1">
        <v>44316</v>
      </c>
      <c r="B626" t="s">
        <v>10</v>
      </c>
      <c r="C626" t="s">
        <v>14</v>
      </c>
      <c r="D626">
        <v>107345</v>
      </c>
      <c r="E626">
        <v>89300</v>
      </c>
      <c r="F626">
        <v>18045</v>
      </c>
      <c r="G626">
        <v>5170</v>
      </c>
      <c r="H626">
        <v>291006</v>
      </c>
      <c r="I626">
        <v>229350</v>
      </c>
      <c r="J626">
        <v>61656</v>
      </c>
    </row>
    <row r="627" spans="1:10" x14ac:dyDescent="0.25">
      <c r="A627" s="1">
        <v>44316</v>
      </c>
      <c r="B627" t="s">
        <v>10</v>
      </c>
      <c r="C627" t="s">
        <v>15</v>
      </c>
      <c r="D627">
        <v>133365</v>
      </c>
      <c r="E627">
        <v>79446</v>
      </c>
      <c r="F627">
        <v>53919</v>
      </c>
      <c r="G627">
        <v>46583</v>
      </c>
      <c r="H627">
        <v>406487</v>
      </c>
      <c r="I627">
        <v>197852</v>
      </c>
      <c r="J627">
        <v>208635</v>
      </c>
    </row>
    <row r="628" spans="1:10" x14ac:dyDescent="0.25">
      <c r="A628" s="1">
        <v>44316</v>
      </c>
      <c r="B628" t="s">
        <v>10</v>
      </c>
      <c r="C628" t="s">
        <v>16</v>
      </c>
      <c r="D628">
        <v>198876</v>
      </c>
      <c r="E628">
        <v>67521</v>
      </c>
      <c r="F628">
        <v>131355</v>
      </c>
      <c r="G628">
        <v>120184</v>
      </c>
      <c r="H628">
        <v>878841</v>
      </c>
      <c r="I628">
        <v>380618</v>
      </c>
      <c r="J628">
        <v>498223</v>
      </c>
    </row>
    <row r="629" spans="1:10" x14ac:dyDescent="0.25">
      <c r="A629" s="1">
        <v>44316</v>
      </c>
      <c r="B629" t="s">
        <v>10</v>
      </c>
      <c r="C629" t="s">
        <v>17</v>
      </c>
      <c r="D629">
        <v>146760</v>
      </c>
      <c r="E629">
        <v>115718</v>
      </c>
      <c r="F629">
        <v>31042</v>
      </c>
      <c r="G629">
        <v>14181</v>
      </c>
      <c r="H629">
        <v>245232</v>
      </c>
      <c r="I629">
        <v>448688</v>
      </c>
      <c r="J629">
        <v>-203456</v>
      </c>
    </row>
    <row r="630" spans="1:10" x14ac:dyDescent="0.25">
      <c r="A630" s="1">
        <v>44316</v>
      </c>
      <c r="B630" t="s">
        <v>11</v>
      </c>
      <c r="C630" t="s">
        <v>14</v>
      </c>
      <c r="D630">
        <v>167169</v>
      </c>
      <c r="E630">
        <v>110669</v>
      </c>
      <c r="F630">
        <v>56500</v>
      </c>
      <c r="G630">
        <v>39015</v>
      </c>
      <c r="H630">
        <v>531328</v>
      </c>
      <c r="I630">
        <v>113140</v>
      </c>
      <c r="J630">
        <v>418188</v>
      </c>
    </row>
    <row r="631" spans="1:10" x14ac:dyDescent="0.25">
      <c r="A631" s="1">
        <v>44316</v>
      </c>
      <c r="B631" t="s">
        <v>11</v>
      </c>
      <c r="C631" t="s">
        <v>15</v>
      </c>
      <c r="D631">
        <v>183457</v>
      </c>
      <c r="E631">
        <v>74357</v>
      </c>
      <c r="F631">
        <v>109100</v>
      </c>
      <c r="G631">
        <v>90732</v>
      </c>
      <c r="H631">
        <v>530817</v>
      </c>
      <c r="I631">
        <v>745961</v>
      </c>
      <c r="J631">
        <v>-215144</v>
      </c>
    </row>
    <row r="632" spans="1:10" x14ac:dyDescent="0.25">
      <c r="A632" s="1">
        <v>44316</v>
      </c>
      <c r="B632" t="s">
        <v>11</v>
      </c>
      <c r="C632" t="s">
        <v>16</v>
      </c>
      <c r="D632">
        <v>165633</v>
      </c>
      <c r="E632">
        <v>136943</v>
      </c>
      <c r="F632">
        <v>28690</v>
      </c>
      <c r="G632">
        <v>9499</v>
      </c>
      <c r="H632">
        <v>606140</v>
      </c>
      <c r="I632">
        <v>169286</v>
      </c>
      <c r="J632">
        <v>436854</v>
      </c>
    </row>
    <row r="633" spans="1:10" x14ac:dyDescent="0.25">
      <c r="A633" s="1">
        <v>44316</v>
      </c>
      <c r="B633" t="s">
        <v>11</v>
      </c>
      <c r="C633" t="s">
        <v>17</v>
      </c>
      <c r="D633">
        <v>193269</v>
      </c>
      <c r="E633">
        <v>134071</v>
      </c>
      <c r="F633">
        <v>59198</v>
      </c>
      <c r="G633">
        <v>46024</v>
      </c>
      <c r="H633">
        <v>421095</v>
      </c>
      <c r="I633">
        <v>613317</v>
      </c>
      <c r="J633">
        <v>-192222</v>
      </c>
    </row>
    <row r="634" spans="1:10" x14ac:dyDescent="0.25">
      <c r="A634" s="1">
        <v>44316</v>
      </c>
      <c r="B634" t="s">
        <v>12</v>
      </c>
      <c r="C634" t="s">
        <v>14</v>
      </c>
      <c r="D634">
        <v>130651</v>
      </c>
      <c r="E634">
        <v>130202</v>
      </c>
      <c r="F634">
        <v>449</v>
      </c>
      <c r="G634">
        <v>-5161</v>
      </c>
      <c r="H634">
        <v>390706</v>
      </c>
      <c r="I634">
        <v>724446</v>
      </c>
      <c r="J634">
        <v>-333740</v>
      </c>
    </row>
    <row r="635" spans="1:10" x14ac:dyDescent="0.25">
      <c r="A635" s="1">
        <v>44316</v>
      </c>
      <c r="B635" t="s">
        <v>12</v>
      </c>
      <c r="C635" t="s">
        <v>15</v>
      </c>
      <c r="D635">
        <v>110800</v>
      </c>
      <c r="E635">
        <v>97823</v>
      </c>
      <c r="F635">
        <v>12977</v>
      </c>
      <c r="G635">
        <v>-2294</v>
      </c>
      <c r="H635">
        <v>526022</v>
      </c>
      <c r="I635">
        <v>380852</v>
      </c>
      <c r="J635">
        <v>145170</v>
      </c>
    </row>
    <row r="636" spans="1:10" x14ac:dyDescent="0.25">
      <c r="A636" s="1">
        <v>44316</v>
      </c>
      <c r="B636" t="s">
        <v>12</v>
      </c>
      <c r="C636" t="s">
        <v>16</v>
      </c>
      <c r="D636">
        <v>112819</v>
      </c>
      <c r="E636">
        <v>134905</v>
      </c>
      <c r="F636">
        <v>-22086</v>
      </c>
      <c r="G636">
        <v>-41804</v>
      </c>
      <c r="H636">
        <v>733571</v>
      </c>
      <c r="I636">
        <v>785933</v>
      </c>
      <c r="J636">
        <v>-52362</v>
      </c>
    </row>
    <row r="637" spans="1:10" x14ac:dyDescent="0.25">
      <c r="A637" s="1">
        <v>44316</v>
      </c>
      <c r="B637" t="s">
        <v>12</v>
      </c>
      <c r="C637" t="s">
        <v>17</v>
      </c>
      <c r="D637">
        <v>178707</v>
      </c>
      <c r="E637">
        <v>90933</v>
      </c>
      <c r="F637">
        <v>87774</v>
      </c>
      <c r="G637">
        <v>77000</v>
      </c>
      <c r="H637">
        <v>403127</v>
      </c>
      <c r="I637">
        <v>242055</v>
      </c>
      <c r="J637">
        <v>161072</v>
      </c>
    </row>
    <row r="638" spans="1:10" x14ac:dyDescent="0.25">
      <c r="A638" s="1">
        <v>44316</v>
      </c>
      <c r="B638" t="s">
        <v>13</v>
      </c>
      <c r="C638" t="s">
        <v>14</v>
      </c>
      <c r="D638">
        <v>196468</v>
      </c>
      <c r="E638">
        <v>156334</v>
      </c>
      <c r="F638">
        <v>40134</v>
      </c>
      <c r="G638">
        <v>33385</v>
      </c>
      <c r="H638">
        <v>725069</v>
      </c>
      <c r="I638">
        <v>214586</v>
      </c>
      <c r="J638">
        <v>510483</v>
      </c>
    </row>
    <row r="639" spans="1:10" x14ac:dyDescent="0.25">
      <c r="A639" s="1">
        <v>44316</v>
      </c>
      <c r="B639" t="s">
        <v>13</v>
      </c>
      <c r="C639" t="s">
        <v>15</v>
      </c>
      <c r="D639">
        <v>156700</v>
      </c>
      <c r="E639">
        <v>87624</v>
      </c>
      <c r="F639">
        <v>69076</v>
      </c>
      <c r="G639">
        <v>57253</v>
      </c>
      <c r="H639">
        <v>742777</v>
      </c>
      <c r="I639">
        <v>271033</v>
      </c>
      <c r="J639">
        <v>471744</v>
      </c>
    </row>
    <row r="640" spans="1:10" x14ac:dyDescent="0.25">
      <c r="A640" s="1">
        <v>44316</v>
      </c>
      <c r="B640" t="s">
        <v>13</v>
      </c>
      <c r="C640" t="s">
        <v>16</v>
      </c>
      <c r="D640">
        <v>129118</v>
      </c>
      <c r="E640">
        <v>141816</v>
      </c>
      <c r="F640">
        <v>-12698</v>
      </c>
      <c r="G640">
        <v>-23577</v>
      </c>
      <c r="H640">
        <v>475709</v>
      </c>
      <c r="I640">
        <v>775714</v>
      </c>
      <c r="J640">
        <v>-300005</v>
      </c>
    </row>
    <row r="641" spans="1:10" x14ac:dyDescent="0.25">
      <c r="A641" s="1">
        <v>44316</v>
      </c>
      <c r="B641" t="s">
        <v>13</v>
      </c>
      <c r="C641" t="s">
        <v>17</v>
      </c>
      <c r="D641">
        <v>142951</v>
      </c>
      <c r="E641">
        <v>151179</v>
      </c>
      <c r="F641">
        <v>-8228</v>
      </c>
      <c r="G641">
        <v>-20492</v>
      </c>
      <c r="H641">
        <v>643945</v>
      </c>
      <c r="I641">
        <v>141971</v>
      </c>
      <c r="J641">
        <v>501974</v>
      </c>
    </row>
    <row r="642" spans="1:10" x14ac:dyDescent="0.25">
      <c r="A642" s="1">
        <v>44347</v>
      </c>
      <c r="B642" t="s">
        <v>10</v>
      </c>
      <c r="C642" t="s">
        <v>14</v>
      </c>
      <c r="D642">
        <v>118658</v>
      </c>
      <c r="E642">
        <v>81253</v>
      </c>
      <c r="F642">
        <v>37405</v>
      </c>
      <c r="G642">
        <v>22399</v>
      </c>
      <c r="H642">
        <v>550808</v>
      </c>
      <c r="I642">
        <v>310097</v>
      </c>
      <c r="J642">
        <v>240711</v>
      </c>
    </row>
    <row r="643" spans="1:10" x14ac:dyDescent="0.25">
      <c r="A643" s="1">
        <v>44347</v>
      </c>
      <c r="B643" t="s">
        <v>10</v>
      </c>
      <c r="C643" t="s">
        <v>15</v>
      </c>
      <c r="D643">
        <v>132658</v>
      </c>
      <c r="E643">
        <v>66852</v>
      </c>
      <c r="F643">
        <v>65806</v>
      </c>
      <c r="G643">
        <v>48212</v>
      </c>
      <c r="H643">
        <v>426058</v>
      </c>
      <c r="I643">
        <v>757911</v>
      </c>
      <c r="J643">
        <v>-331853</v>
      </c>
    </row>
    <row r="644" spans="1:10" x14ac:dyDescent="0.25">
      <c r="A644" s="1">
        <v>44347</v>
      </c>
      <c r="B644" t="s">
        <v>10</v>
      </c>
      <c r="C644" t="s">
        <v>16</v>
      </c>
      <c r="D644">
        <v>171947</v>
      </c>
      <c r="E644">
        <v>121001</v>
      </c>
      <c r="F644">
        <v>50946</v>
      </c>
      <c r="G644">
        <v>45939</v>
      </c>
      <c r="H644">
        <v>322775</v>
      </c>
      <c r="I644">
        <v>657531</v>
      </c>
      <c r="J644">
        <v>-334756</v>
      </c>
    </row>
    <row r="645" spans="1:10" x14ac:dyDescent="0.25">
      <c r="A645" s="1">
        <v>44347</v>
      </c>
      <c r="B645" t="s">
        <v>10</v>
      </c>
      <c r="C645" t="s">
        <v>17</v>
      </c>
      <c r="D645">
        <v>121800</v>
      </c>
      <c r="E645">
        <v>135939</v>
      </c>
      <c r="F645">
        <v>-14139</v>
      </c>
      <c r="G645">
        <v>-27815</v>
      </c>
      <c r="H645">
        <v>461716</v>
      </c>
      <c r="I645">
        <v>500455</v>
      </c>
      <c r="J645">
        <v>-38739</v>
      </c>
    </row>
    <row r="646" spans="1:10" x14ac:dyDescent="0.25">
      <c r="A646" s="1">
        <v>44347</v>
      </c>
      <c r="B646" t="s">
        <v>11</v>
      </c>
      <c r="C646" t="s">
        <v>14</v>
      </c>
      <c r="D646">
        <v>106710</v>
      </c>
      <c r="E646">
        <v>81384</v>
      </c>
      <c r="F646">
        <v>25326</v>
      </c>
      <c r="G646">
        <v>15672</v>
      </c>
      <c r="H646">
        <v>371918</v>
      </c>
      <c r="I646">
        <v>319055</v>
      </c>
      <c r="J646">
        <v>52863</v>
      </c>
    </row>
    <row r="647" spans="1:10" x14ac:dyDescent="0.25">
      <c r="A647" s="1">
        <v>44347</v>
      </c>
      <c r="B647" t="s">
        <v>11</v>
      </c>
      <c r="C647" t="s">
        <v>15</v>
      </c>
      <c r="D647">
        <v>167821</v>
      </c>
      <c r="E647">
        <v>97991</v>
      </c>
      <c r="F647">
        <v>69830</v>
      </c>
      <c r="G647">
        <v>51309</v>
      </c>
      <c r="H647">
        <v>600187</v>
      </c>
      <c r="I647">
        <v>522355</v>
      </c>
      <c r="J647">
        <v>77832</v>
      </c>
    </row>
    <row r="648" spans="1:10" x14ac:dyDescent="0.25">
      <c r="A648" s="1">
        <v>44347</v>
      </c>
      <c r="B648" t="s">
        <v>11</v>
      </c>
      <c r="C648" t="s">
        <v>16</v>
      </c>
      <c r="D648">
        <v>185445</v>
      </c>
      <c r="E648">
        <v>137067</v>
      </c>
      <c r="F648">
        <v>48378</v>
      </c>
      <c r="G648">
        <v>28657</v>
      </c>
      <c r="H648">
        <v>677958</v>
      </c>
      <c r="I648">
        <v>106530</v>
      </c>
      <c r="J648">
        <v>571428</v>
      </c>
    </row>
    <row r="649" spans="1:10" x14ac:dyDescent="0.25">
      <c r="A649" s="1">
        <v>44347</v>
      </c>
      <c r="B649" t="s">
        <v>11</v>
      </c>
      <c r="C649" t="s">
        <v>17</v>
      </c>
      <c r="D649">
        <v>111116</v>
      </c>
      <c r="E649">
        <v>125794</v>
      </c>
      <c r="F649">
        <v>-14678</v>
      </c>
      <c r="G649">
        <v>-19960</v>
      </c>
      <c r="H649">
        <v>410545</v>
      </c>
      <c r="I649">
        <v>757258</v>
      </c>
      <c r="J649">
        <v>-346713</v>
      </c>
    </row>
    <row r="650" spans="1:10" x14ac:dyDescent="0.25">
      <c r="A650" s="1">
        <v>44347</v>
      </c>
      <c r="B650" t="s">
        <v>12</v>
      </c>
      <c r="C650" t="s">
        <v>14</v>
      </c>
      <c r="D650">
        <v>104135</v>
      </c>
      <c r="E650">
        <v>66629</v>
      </c>
      <c r="F650">
        <v>37506</v>
      </c>
      <c r="G650">
        <v>21338</v>
      </c>
      <c r="H650">
        <v>678336</v>
      </c>
      <c r="I650">
        <v>713375</v>
      </c>
      <c r="J650">
        <v>-35039</v>
      </c>
    </row>
    <row r="651" spans="1:10" x14ac:dyDescent="0.25">
      <c r="A651" s="1">
        <v>44347</v>
      </c>
      <c r="B651" t="s">
        <v>12</v>
      </c>
      <c r="C651" t="s">
        <v>15</v>
      </c>
      <c r="D651">
        <v>165031</v>
      </c>
      <c r="E651">
        <v>93380</v>
      </c>
      <c r="F651">
        <v>71651</v>
      </c>
      <c r="G651">
        <v>52448</v>
      </c>
      <c r="H651">
        <v>479215</v>
      </c>
      <c r="I651">
        <v>120074</v>
      </c>
      <c r="J651">
        <v>359141</v>
      </c>
    </row>
    <row r="652" spans="1:10" x14ac:dyDescent="0.25">
      <c r="A652" s="1">
        <v>44347</v>
      </c>
      <c r="B652" t="s">
        <v>12</v>
      </c>
      <c r="C652" t="s">
        <v>16</v>
      </c>
      <c r="D652">
        <v>190724</v>
      </c>
      <c r="E652">
        <v>127843</v>
      </c>
      <c r="F652">
        <v>62881</v>
      </c>
      <c r="G652">
        <v>50748</v>
      </c>
      <c r="H652">
        <v>473349</v>
      </c>
      <c r="I652">
        <v>495807</v>
      </c>
      <c r="J652">
        <v>-22458</v>
      </c>
    </row>
    <row r="653" spans="1:10" x14ac:dyDescent="0.25">
      <c r="A653" s="1">
        <v>44347</v>
      </c>
      <c r="B653" t="s">
        <v>12</v>
      </c>
      <c r="C653" t="s">
        <v>17</v>
      </c>
      <c r="D653">
        <v>162987</v>
      </c>
      <c r="E653">
        <v>123370</v>
      </c>
      <c r="F653">
        <v>39617</v>
      </c>
      <c r="G653">
        <v>22467</v>
      </c>
      <c r="H653">
        <v>567631</v>
      </c>
      <c r="I653">
        <v>678688</v>
      </c>
      <c r="J653">
        <v>-111057</v>
      </c>
    </row>
    <row r="654" spans="1:10" x14ac:dyDescent="0.25">
      <c r="A654" s="1">
        <v>44347</v>
      </c>
      <c r="B654" t="s">
        <v>13</v>
      </c>
      <c r="C654" t="s">
        <v>14</v>
      </c>
      <c r="D654">
        <v>125150</v>
      </c>
      <c r="E654">
        <v>91852</v>
      </c>
      <c r="F654">
        <v>33298</v>
      </c>
      <c r="G654">
        <v>18196</v>
      </c>
      <c r="H654">
        <v>713012</v>
      </c>
      <c r="I654">
        <v>477501</v>
      </c>
      <c r="J654">
        <v>235511</v>
      </c>
    </row>
    <row r="655" spans="1:10" x14ac:dyDescent="0.25">
      <c r="A655" s="1">
        <v>44347</v>
      </c>
      <c r="B655" t="s">
        <v>13</v>
      </c>
      <c r="C655" t="s">
        <v>15</v>
      </c>
      <c r="D655">
        <v>156481</v>
      </c>
      <c r="E655">
        <v>61283</v>
      </c>
      <c r="F655">
        <v>95198</v>
      </c>
      <c r="G655">
        <v>89275</v>
      </c>
      <c r="H655">
        <v>594341</v>
      </c>
      <c r="I655">
        <v>298137</v>
      </c>
      <c r="J655">
        <v>296204</v>
      </c>
    </row>
    <row r="656" spans="1:10" x14ac:dyDescent="0.25">
      <c r="A656" s="1">
        <v>44347</v>
      </c>
      <c r="B656" t="s">
        <v>13</v>
      </c>
      <c r="C656" t="s">
        <v>16</v>
      </c>
      <c r="D656">
        <v>126170</v>
      </c>
      <c r="E656">
        <v>68438</v>
      </c>
      <c r="F656">
        <v>57732</v>
      </c>
      <c r="G656">
        <v>49021</v>
      </c>
      <c r="H656">
        <v>871514</v>
      </c>
      <c r="I656">
        <v>501220</v>
      </c>
      <c r="J656">
        <v>370294</v>
      </c>
    </row>
    <row r="657" spans="1:10" x14ac:dyDescent="0.25">
      <c r="A657" s="1">
        <v>44347</v>
      </c>
      <c r="B657" t="s">
        <v>13</v>
      </c>
      <c r="C657" t="s">
        <v>17</v>
      </c>
      <c r="D657">
        <v>109752</v>
      </c>
      <c r="E657">
        <v>115426</v>
      </c>
      <c r="F657">
        <v>-5674</v>
      </c>
      <c r="G657">
        <v>-21266</v>
      </c>
      <c r="H657">
        <v>488963</v>
      </c>
      <c r="I657">
        <v>595384</v>
      </c>
      <c r="J657">
        <v>-106421</v>
      </c>
    </row>
    <row r="658" spans="1:10" x14ac:dyDescent="0.25">
      <c r="A658" s="1">
        <v>44377</v>
      </c>
      <c r="B658" t="s">
        <v>10</v>
      </c>
      <c r="C658" t="s">
        <v>14</v>
      </c>
      <c r="D658">
        <v>192051</v>
      </c>
      <c r="E658">
        <v>84217</v>
      </c>
      <c r="F658">
        <v>107834</v>
      </c>
      <c r="G658">
        <v>91573</v>
      </c>
      <c r="H658">
        <v>419780</v>
      </c>
      <c r="I658">
        <v>395138</v>
      </c>
      <c r="J658">
        <v>24642</v>
      </c>
    </row>
    <row r="659" spans="1:10" x14ac:dyDescent="0.25">
      <c r="A659" s="1">
        <v>44377</v>
      </c>
      <c r="B659" t="s">
        <v>10</v>
      </c>
      <c r="C659" t="s">
        <v>15</v>
      </c>
      <c r="D659">
        <v>115036</v>
      </c>
      <c r="E659">
        <v>137275</v>
      </c>
      <c r="F659">
        <v>-22239</v>
      </c>
      <c r="G659">
        <v>-27503</v>
      </c>
      <c r="H659">
        <v>295665</v>
      </c>
      <c r="I659">
        <v>756005</v>
      </c>
      <c r="J659">
        <v>-460340</v>
      </c>
    </row>
    <row r="660" spans="1:10" x14ac:dyDescent="0.25">
      <c r="A660" s="1">
        <v>44377</v>
      </c>
      <c r="B660" t="s">
        <v>10</v>
      </c>
      <c r="C660" t="s">
        <v>16</v>
      </c>
      <c r="D660">
        <v>130930</v>
      </c>
      <c r="E660">
        <v>141835</v>
      </c>
      <c r="F660">
        <v>-10905</v>
      </c>
      <c r="G660">
        <v>-23449</v>
      </c>
      <c r="H660">
        <v>942849</v>
      </c>
      <c r="I660">
        <v>545358</v>
      </c>
      <c r="J660">
        <v>397491</v>
      </c>
    </row>
    <row r="661" spans="1:10" x14ac:dyDescent="0.25">
      <c r="A661" s="1">
        <v>44377</v>
      </c>
      <c r="B661" t="s">
        <v>10</v>
      </c>
      <c r="C661" t="s">
        <v>17</v>
      </c>
      <c r="D661">
        <v>126475</v>
      </c>
      <c r="E661">
        <v>78888</v>
      </c>
      <c r="F661">
        <v>47587</v>
      </c>
      <c r="G661">
        <v>31623</v>
      </c>
      <c r="H661">
        <v>936983</v>
      </c>
      <c r="I661">
        <v>408449</v>
      </c>
      <c r="J661">
        <v>528534</v>
      </c>
    </row>
    <row r="662" spans="1:10" x14ac:dyDescent="0.25">
      <c r="A662" s="1">
        <v>44377</v>
      </c>
      <c r="B662" t="s">
        <v>11</v>
      </c>
      <c r="C662" t="s">
        <v>14</v>
      </c>
      <c r="D662">
        <v>146037</v>
      </c>
      <c r="E662">
        <v>69346</v>
      </c>
      <c r="F662">
        <v>76691</v>
      </c>
      <c r="G662">
        <v>71104</v>
      </c>
      <c r="H662">
        <v>212763</v>
      </c>
      <c r="I662">
        <v>290237</v>
      </c>
      <c r="J662">
        <v>-77474</v>
      </c>
    </row>
    <row r="663" spans="1:10" x14ac:dyDescent="0.25">
      <c r="A663" s="1">
        <v>44377</v>
      </c>
      <c r="B663" t="s">
        <v>11</v>
      </c>
      <c r="C663" t="s">
        <v>15</v>
      </c>
      <c r="D663">
        <v>169615</v>
      </c>
      <c r="E663">
        <v>96116</v>
      </c>
      <c r="F663">
        <v>73499</v>
      </c>
      <c r="G663">
        <v>62200</v>
      </c>
      <c r="H663">
        <v>416823</v>
      </c>
      <c r="I663">
        <v>191353</v>
      </c>
      <c r="J663">
        <v>225470</v>
      </c>
    </row>
    <row r="664" spans="1:10" x14ac:dyDescent="0.25">
      <c r="A664" s="1">
        <v>44377</v>
      </c>
      <c r="B664" t="s">
        <v>11</v>
      </c>
      <c r="C664" t="s">
        <v>16</v>
      </c>
      <c r="D664">
        <v>190301</v>
      </c>
      <c r="E664">
        <v>155648</v>
      </c>
      <c r="F664">
        <v>34653</v>
      </c>
      <c r="G664">
        <v>20481</v>
      </c>
      <c r="H664">
        <v>742387</v>
      </c>
      <c r="I664">
        <v>471233</v>
      </c>
      <c r="J664">
        <v>271154</v>
      </c>
    </row>
    <row r="665" spans="1:10" x14ac:dyDescent="0.25">
      <c r="A665" s="1">
        <v>44377</v>
      </c>
      <c r="B665" t="s">
        <v>11</v>
      </c>
      <c r="C665" t="s">
        <v>17</v>
      </c>
      <c r="D665">
        <v>145096</v>
      </c>
      <c r="E665">
        <v>131986</v>
      </c>
      <c r="F665">
        <v>13110</v>
      </c>
      <c r="G665">
        <v>-5120</v>
      </c>
      <c r="H665">
        <v>622225</v>
      </c>
      <c r="I665">
        <v>302041</v>
      </c>
      <c r="J665">
        <v>320184</v>
      </c>
    </row>
    <row r="666" spans="1:10" x14ac:dyDescent="0.25">
      <c r="A666" s="1">
        <v>44377</v>
      </c>
      <c r="B666" t="s">
        <v>12</v>
      </c>
      <c r="C666" t="s">
        <v>14</v>
      </c>
      <c r="D666">
        <v>133866</v>
      </c>
      <c r="E666">
        <v>144246</v>
      </c>
      <c r="F666">
        <v>-10380</v>
      </c>
      <c r="G666">
        <v>-26819</v>
      </c>
      <c r="H666">
        <v>635071</v>
      </c>
      <c r="I666">
        <v>443701</v>
      </c>
      <c r="J666">
        <v>191370</v>
      </c>
    </row>
    <row r="667" spans="1:10" x14ac:dyDescent="0.25">
      <c r="A667" s="1">
        <v>44377</v>
      </c>
      <c r="B667" t="s">
        <v>12</v>
      </c>
      <c r="C667" t="s">
        <v>15</v>
      </c>
      <c r="D667">
        <v>106416</v>
      </c>
      <c r="E667">
        <v>132516</v>
      </c>
      <c r="F667">
        <v>-26100</v>
      </c>
      <c r="G667">
        <v>-37863</v>
      </c>
      <c r="H667">
        <v>611274</v>
      </c>
      <c r="I667">
        <v>533934</v>
      </c>
      <c r="J667">
        <v>77340</v>
      </c>
    </row>
    <row r="668" spans="1:10" x14ac:dyDescent="0.25">
      <c r="A668" s="1">
        <v>44377</v>
      </c>
      <c r="B668" t="s">
        <v>12</v>
      </c>
      <c r="C668" t="s">
        <v>16</v>
      </c>
      <c r="D668">
        <v>132602</v>
      </c>
      <c r="E668">
        <v>134658</v>
      </c>
      <c r="F668">
        <v>-2056</v>
      </c>
      <c r="G668">
        <v>-19632</v>
      </c>
      <c r="H668">
        <v>389139</v>
      </c>
      <c r="I668">
        <v>258588</v>
      </c>
      <c r="J668">
        <v>130551</v>
      </c>
    </row>
    <row r="669" spans="1:10" x14ac:dyDescent="0.25">
      <c r="A669" s="1">
        <v>44377</v>
      </c>
      <c r="B669" t="s">
        <v>12</v>
      </c>
      <c r="C669" t="s">
        <v>17</v>
      </c>
      <c r="D669">
        <v>187969</v>
      </c>
      <c r="E669">
        <v>61089</v>
      </c>
      <c r="F669">
        <v>126880</v>
      </c>
      <c r="G669">
        <v>117302</v>
      </c>
      <c r="H669">
        <v>405735</v>
      </c>
      <c r="I669">
        <v>765847</v>
      </c>
      <c r="J669">
        <v>-360112</v>
      </c>
    </row>
    <row r="670" spans="1:10" x14ac:dyDescent="0.25">
      <c r="A670" s="1">
        <v>44377</v>
      </c>
      <c r="B670" t="s">
        <v>13</v>
      </c>
      <c r="C670" t="s">
        <v>14</v>
      </c>
      <c r="D670">
        <v>100155</v>
      </c>
      <c r="E670">
        <v>127494</v>
      </c>
      <c r="F670">
        <v>-27339</v>
      </c>
      <c r="G670">
        <v>-43032</v>
      </c>
      <c r="H670">
        <v>304648</v>
      </c>
      <c r="I670">
        <v>138547</v>
      </c>
      <c r="J670">
        <v>166101</v>
      </c>
    </row>
    <row r="671" spans="1:10" x14ac:dyDescent="0.25">
      <c r="A671" s="1">
        <v>44377</v>
      </c>
      <c r="B671" t="s">
        <v>13</v>
      </c>
      <c r="C671" t="s">
        <v>15</v>
      </c>
      <c r="D671">
        <v>128795</v>
      </c>
      <c r="E671">
        <v>115296</v>
      </c>
      <c r="F671">
        <v>13499</v>
      </c>
      <c r="G671">
        <v>3436</v>
      </c>
      <c r="H671">
        <v>891958</v>
      </c>
      <c r="I671">
        <v>356190</v>
      </c>
      <c r="J671">
        <v>535768</v>
      </c>
    </row>
    <row r="672" spans="1:10" x14ac:dyDescent="0.25">
      <c r="A672" s="1">
        <v>44377</v>
      </c>
      <c r="B672" t="s">
        <v>13</v>
      </c>
      <c r="C672" t="s">
        <v>16</v>
      </c>
      <c r="D672">
        <v>175330</v>
      </c>
      <c r="E672">
        <v>158745</v>
      </c>
      <c r="F672">
        <v>16585</v>
      </c>
      <c r="G672">
        <v>5545</v>
      </c>
      <c r="H672">
        <v>779365</v>
      </c>
      <c r="I672">
        <v>212782</v>
      </c>
      <c r="J672">
        <v>566583</v>
      </c>
    </row>
    <row r="673" spans="1:10" x14ac:dyDescent="0.25">
      <c r="A673" s="1">
        <v>44377</v>
      </c>
      <c r="B673" t="s">
        <v>13</v>
      </c>
      <c r="C673" t="s">
        <v>17</v>
      </c>
      <c r="D673">
        <v>171906</v>
      </c>
      <c r="E673">
        <v>69528</v>
      </c>
      <c r="F673">
        <v>102378</v>
      </c>
      <c r="G673">
        <v>85486</v>
      </c>
      <c r="H673">
        <v>643316</v>
      </c>
      <c r="I673">
        <v>472013</v>
      </c>
      <c r="J673">
        <v>171303</v>
      </c>
    </row>
    <row r="674" spans="1:10" x14ac:dyDescent="0.25">
      <c r="A674" s="1">
        <v>44408</v>
      </c>
      <c r="B674" t="s">
        <v>10</v>
      </c>
      <c r="C674" t="s">
        <v>14</v>
      </c>
      <c r="D674">
        <v>108179</v>
      </c>
      <c r="E674">
        <v>108781</v>
      </c>
      <c r="F674">
        <v>-602</v>
      </c>
      <c r="G674">
        <v>-11717</v>
      </c>
      <c r="H674">
        <v>675595</v>
      </c>
      <c r="I674">
        <v>517168</v>
      </c>
      <c r="J674">
        <v>158427</v>
      </c>
    </row>
    <row r="675" spans="1:10" x14ac:dyDescent="0.25">
      <c r="A675" s="1">
        <v>44408</v>
      </c>
      <c r="B675" t="s">
        <v>10</v>
      </c>
      <c r="C675" t="s">
        <v>15</v>
      </c>
      <c r="D675">
        <v>153798</v>
      </c>
      <c r="E675">
        <v>158696</v>
      </c>
      <c r="F675">
        <v>-4898</v>
      </c>
      <c r="G675">
        <v>-22028</v>
      </c>
      <c r="H675">
        <v>250939</v>
      </c>
      <c r="I675">
        <v>241521</v>
      </c>
      <c r="J675">
        <v>9418</v>
      </c>
    </row>
    <row r="676" spans="1:10" x14ac:dyDescent="0.25">
      <c r="A676" s="1">
        <v>44408</v>
      </c>
      <c r="B676" t="s">
        <v>10</v>
      </c>
      <c r="C676" t="s">
        <v>16</v>
      </c>
      <c r="D676">
        <v>150290</v>
      </c>
      <c r="E676">
        <v>146661</v>
      </c>
      <c r="F676">
        <v>3629</v>
      </c>
      <c r="G676">
        <v>-8789</v>
      </c>
      <c r="H676">
        <v>792278</v>
      </c>
      <c r="I676">
        <v>683098</v>
      </c>
      <c r="J676">
        <v>109180</v>
      </c>
    </row>
    <row r="677" spans="1:10" x14ac:dyDescent="0.25">
      <c r="A677" s="1">
        <v>44408</v>
      </c>
      <c r="B677" t="s">
        <v>10</v>
      </c>
      <c r="C677" t="s">
        <v>17</v>
      </c>
      <c r="D677">
        <v>183297</v>
      </c>
      <c r="E677">
        <v>75223</v>
      </c>
      <c r="F677">
        <v>108074</v>
      </c>
      <c r="G677">
        <v>96373</v>
      </c>
      <c r="H677">
        <v>857957</v>
      </c>
      <c r="I677">
        <v>364803</v>
      </c>
      <c r="J677">
        <v>493154</v>
      </c>
    </row>
    <row r="678" spans="1:10" x14ac:dyDescent="0.25">
      <c r="A678" s="1">
        <v>44408</v>
      </c>
      <c r="B678" t="s">
        <v>11</v>
      </c>
      <c r="C678" t="s">
        <v>14</v>
      </c>
      <c r="D678">
        <v>186516</v>
      </c>
      <c r="E678">
        <v>134567</v>
      </c>
      <c r="F678">
        <v>51949</v>
      </c>
      <c r="G678">
        <v>35139</v>
      </c>
      <c r="H678">
        <v>902098</v>
      </c>
      <c r="I678">
        <v>564894</v>
      </c>
      <c r="J678">
        <v>337204</v>
      </c>
    </row>
    <row r="679" spans="1:10" x14ac:dyDescent="0.25">
      <c r="A679" s="1">
        <v>44408</v>
      </c>
      <c r="B679" t="s">
        <v>11</v>
      </c>
      <c r="C679" t="s">
        <v>15</v>
      </c>
      <c r="D679">
        <v>112109</v>
      </c>
      <c r="E679">
        <v>82010</v>
      </c>
      <c r="F679">
        <v>30099</v>
      </c>
      <c r="G679">
        <v>16312</v>
      </c>
      <c r="H679">
        <v>963760</v>
      </c>
      <c r="I679">
        <v>239544</v>
      </c>
      <c r="J679">
        <v>724216</v>
      </c>
    </row>
    <row r="680" spans="1:10" x14ac:dyDescent="0.25">
      <c r="A680" s="1">
        <v>44408</v>
      </c>
      <c r="B680" t="s">
        <v>11</v>
      </c>
      <c r="C680" t="s">
        <v>16</v>
      </c>
      <c r="D680">
        <v>123383</v>
      </c>
      <c r="E680">
        <v>121709</v>
      </c>
      <c r="F680">
        <v>1674</v>
      </c>
      <c r="G680">
        <v>-7575</v>
      </c>
      <c r="H680">
        <v>968613</v>
      </c>
      <c r="I680">
        <v>134518</v>
      </c>
      <c r="J680">
        <v>834095</v>
      </c>
    </row>
    <row r="681" spans="1:10" x14ac:dyDescent="0.25">
      <c r="A681" s="1">
        <v>44408</v>
      </c>
      <c r="B681" t="s">
        <v>11</v>
      </c>
      <c r="C681" t="s">
        <v>17</v>
      </c>
      <c r="D681">
        <v>153909</v>
      </c>
      <c r="E681">
        <v>78351</v>
      </c>
      <c r="F681">
        <v>75558</v>
      </c>
      <c r="G681">
        <v>66470</v>
      </c>
      <c r="H681">
        <v>715693</v>
      </c>
      <c r="I681">
        <v>639570</v>
      </c>
      <c r="J681">
        <v>76123</v>
      </c>
    </row>
    <row r="682" spans="1:10" x14ac:dyDescent="0.25">
      <c r="A682" s="1">
        <v>44408</v>
      </c>
      <c r="B682" t="s">
        <v>12</v>
      </c>
      <c r="C682" t="s">
        <v>14</v>
      </c>
      <c r="D682">
        <v>184866</v>
      </c>
      <c r="E682">
        <v>81778</v>
      </c>
      <c r="F682">
        <v>103088</v>
      </c>
      <c r="G682">
        <v>90208</v>
      </c>
      <c r="H682">
        <v>652891</v>
      </c>
      <c r="I682">
        <v>569164</v>
      </c>
      <c r="J682">
        <v>83727</v>
      </c>
    </row>
    <row r="683" spans="1:10" x14ac:dyDescent="0.25">
      <c r="A683" s="1">
        <v>44408</v>
      </c>
      <c r="B683" t="s">
        <v>12</v>
      </c>
      <c r="C683" t="s">
        <v>15</v>
      </c>
      <c r="D683">
        <v>148454</v>
      </c>
      <c r="E683">
        <v>88365</v>
      </c>
      <c r="F683">
        <v>60089</v>
      </c>
      <c r="G683">
        <v>47859</v>
      </c>
      <c r="H683">
        <v>641416</v>
      </c>
      <c r="I683">
        <v>373146</v>
      </c>
      <c r="J683">
        <v>268270</v>
      </c>
    </row>
    <row r="684" spans="1:10" x14ac:dyDescent="0.25">
      <c r="A684" s="1">
        <v>44408</v>
      </c>
      <c r="B684" t="s">
        <v>12</v>
      </c>
      <c r="C684" t="s">
        <v>16</v>
      </c>
      <c r="D684">
        <v>113947</v>
      </c>
      <c r="E684">
        <v>139222</v>
      </c>
      <c r="F684">
        <v>-25275</v>
      </c>
      <c r="G684">
        <v>-43195</v>
      </c>
      <c r="H684">
        <v>316219</v>
      </c>
      <c r="I684">
        <v>440754</v>
      </c>
      <c r="J684">
        <v>-124535</v>
      </c>
    </row>
    <row r="685" spans="1:10" x14ac:dyDescent="0.25">
      <c r="A685" s="1">
        <v>44408</v>
      </c>
      <c r="B685" t="s">
        <v>12</v>
      </c>
      <c r="C685" t="s">
        <v>17</v>
      </c>
      <c r="D685">
        <v>152142</v>
      </c>
      <c r="E685">
        <v>116307</v>
      </c>
      <c r="F685">
        <v>35835</v>
      </c>
      <c r="G685">
        <v>26342</v>
      </c>
      <c r="H685">
        <v>979383</v>
      </c>
      <c r="I685">
        <v>412229</v>
      </c>
      <c r="J685">
        <v>567154</v>
      </c>
    </row>
    <row r="686" spans="1:10" x14ac:dyDescent="0.25">
      <c r="A686" s="1">
        <v>44408</v>
      </c>
      <c r="B686" t="s">
        <v>13</v>
      </c>
      <c r="C686" t="s">
        <v>14</v>
      </c>
      <c r="D686">
        <v>134228</v>
      </c>
      <c r="E686">
        <v>139676</v>
      </c>
      <c r="F686">
        <v>-5448</v>
      </c>
      <c r="G686">
        <v>-13171</v>
      </c>
      <c r="H686">
        <v>624871</v>
      </c>
      <c r="I686">
        <v>667760</v>
      </c>
      <c r="J686">
        <v>-42889</v>
      </c>
    </row>
    <row r="687" spans="1:10" x14ac:dyDescent="0.25">
      <c r="A687" s="1">
        <v>44408</v>
      </c>
      <c r="B687" t="s">
        <v>13</v>
      </c>
      <c r="C687" t="s">
        <v>15</v>
      </c>
      <c r="D687">
        <v>149437</v>
      </c>
      <c r="E687">
        <v>109416</v>
      </c>
      <c r="F687">
        <v>40021</v>
      </c>
      <c r="G687">
        <v>24462</v>
      </c>
      <c r="H687">
        <v>337888</v>
      </c>
      <c r="I687">
        <v>177175</v>
      </c>
      <c r="J687">
        <v>160713</v>
      </c>
    </row>
    <row r="688" spans="1:10" x14ac:dyDescent="0.25">
      <c r="A688" s="1">
        <v>44408</v>
      </c>
      <c r="B688" t="s">
        <v>13</v>
      </c>
      <c r="C688" t="s">
        <v>16</v>
      </c>
      <c r="D688">
        <v>164307</v>
      </c>
      <c r="E688">
        <v>106733</v>
      </c>
      <c r="F688">
        <v>57574</v>
      </c>
      <c r="G688">
        <v>39060</v>
      </c>
      <c r="H688">
        <v>295028</v>
      </c>
      <c r="I688">
        <v>609666</v>
      </c>
      <c r="J688">
        <v>-314638</v>
      </c>
    </row>
    <row r="689" spans="1:10" x14ac:dyDescent="0.25">
      <c r="A689" s="1">
        <v>44408</v>
      </c>
      <c r="B689" t="s">
        <v>13</v>
      </c>
      <c r="C689" t="s">
        <v>17</v>
      </c>
      <c r="D689">
        <v>111240</v>
      </c>
      <c r="E689">
        <v>158234</v>
      </c>
      <c r="F689">
        <v>-46994</v>
      </c>
      <c r="G689">
        <v>-62567</v>
      </c>
      <c r="H689">
        <v>325149</v>
      </c>
      <c r="I689">
        <v>302435</v>
      </c>
      <c r="J689">
        <v>22714</v>
      </c>
    </row>
    <row r="690" spans="1:10" x14ac:dyDescent="0.25">
      <c r="A690" s="1">
        <v>44439</v>
      </c>
      <c r="B690" t="s">
        <v>10</v>
      </c>
      <c r="C690" t="s">
        <v>14</v>
      </c>
      <c r="D690">
        <v>132762</v>
      </c>
      <c r="E690">
        <v>68259</v>
      </c>
      <c r="F690">
        <v>64503</v>
      </c>
      <c r="G690">
        <v>58516</v>
      </c>
      <c r="H690">
        <v>476993</v>
      </c>
      <c r="I690">
        <v>443912</v>
      </c>
      <c r="J690">
        <v>33081</v>
      </c>
    </row>
    <row r="691" spans="1:10" x14ac:dyDescent="0.25">
      <c r="A691" s="1">
        <v>44439</v>
      </c>
      <c r="B691" t="s">
        <v>10</v>
      </c>
      <c r="C691" t="s">
        <v>15</v>
      </c>
      <c r="D691">
        <v>189709</v>
      </c>
      <c r="E691">
        <v>114869</v>
      </c>
      <c r="F691">
        <v>74840</v>
      </c>
      <c r="G691">
        <v>57640</v>
      </c>
      <c r="H691">
        <v>263095</v>
      </c>
      <c r="I691">
        <v>217886</v>
      </c>
      <c r="J691">
        <v>45209</v>
      </c>
    </row>
    <row r="692" spans="1:10" x14ac:dyDescent="0.25">
      <c r="A692" s="1">
        <v>44439</v>
      </c>
      <c r="B692" t="s">
        <v>10</v>
      </c>
      <c r="C692" t="s">
        <v>16</v>
      </c>
      <c r="D692">
        <v>170910</v>
      </c>
      <c r="E692">
        <v>146710</v>
      </c>
      <c r="F692">
        <v>24200</v>
      </c>
      <c r="G692">
        <v>12017</v>
      </c>
      <c r="H692">
        <v>235292</v>
      </c>
      <c r="I692">
        <v>174813</v>
      </c>
      <c r="J692">
        <v>60479</v>
      </c>
    </row>
    <row r="693" spans="1:10" x14ac:dyDescent="0.25">
      <c r="A693" s="1">
        <v>44439</v>
      </c>
      <c r="B693" t="s">
        <v>10</v>
      </c>
      <c r="C693" t="s">
        <v>17</v>
      </c>
      <c r="D693">
        <v>197136</v>
      </c>
      <c r="E693">
        <v>111631</v>
      </c>
      <c r="F693">
        <v>85505</v>
      </c>
      <c r="G693">
        <v>70620</v>
      </c>
      <c r="H693">
        <v>385378</v>
      </c>
      <c r="I693">
        <v>427231</v>
      </c>
      <c r="J693">
        <v>-41853</v>
      </c>
    </row>
    <row r="694" spans="1:10" x14ac:dyDescent="0.25">
      <c r="A694" s="1">
        <v>44439</v>
      </c>
      <c r="B694" t="s">
        <v>11</v>
      </c>
      <c r="C694" t="s">
        <v>14</v>
      </c>
      <c r="D694">
        <v>129165</v>
      </c>
      <c r="E694">
        <v>118929</v>
      </c>
      <c r="F694">
        <v>10236</v>
      </c>
      <c r="G694">
        <v>3744</v>
      </c>
      <c r="H694">
        <v>774100</v>
      </c>
      <c r="I694">
        <v>572367</v>
      </c>
      <c r="J694">
        <v>201733</v>
      </c>
    </row>
    <row r="695" spans="1:10" x14ac:dyDescent="0.25">
      <c r="A695" s="1">
        <v>44439</v>
      </c>
      <c r="B695" t="s">
        <v>11</v>
      </c>
      <c r="C695" t="s">
        <v>15</v>
      </c>
      <c r="D695">
        <v>158643</v>
      </c>
      <c r="E695">
        <v>104900</v>
      </c>
      <c r="F695">
        <v>53743</v>
      </c>
      <c r="G695">
        <v>38565</v>
      </c>
      <c r="H695">
        <v>601067</v>
      </c>
      <c r="I695">
        <v>172692</v>
      </c>
      <c r="J695">
        <v>428375</v>
      </c>
    </row>
    <row r="696" spans="1:10" x14ac:dyDescent="0.25">
      <c r="A696" s="1">
        <v>44439</v>
      </c>
      <c r="B696" t="s">
        <v>11</v>
      </c>
      <c r="C696" t="s">
        <v>16</v>
      </c>
      <c r="D696">
        <v>167580</v>
      </c>
      <c r="E696">
        <v>67368</v>
      </c>
      <c r="F696">
        <v>100212</v>
      </c>
      <c r="G696">
        <v>91696</v>
      </c>
      <c r="H696">
        <v>951496</v>
      </c>
      <c r="I696">
        <v>146403</v>
      </c>
      <c r="J696">
        <v>805093</v>
      </c>
    </row>
    <row r="697" spans="1:10" x14ac:dyDescent="0.25">
      <c r="A697" s="1">
        <v>44439</v>
      </c>
      <c r="B697" t="s">
        <v>11</v>
      </c>
      <c r="C697" t="s">
        <v>17</v>
      </c>
      <c r="D697">
        <v>191170</v>
      </c>
      <c r="E697">
        <v>69168</v>
      </c>
      <c r="F697">
        <v>122002</v>
      </c>
      <c r="G697">
        <v>112425</v>
      </c>
      <c r="H697">
        <v>512023</v>
      </c>
      <c r="I697">
        <v>159871</v>
      </c>
      <c r="J697">
        <v>352152</v>
      </c>
    </row>
    <row r="698" spans="1:10" x14ac:dyDescent="0.25">
      <c r="A698" s="1">
        <v>44439</v>
      </c>
      <c r="B698" t="s">
        <v>12</v>
      </c>
      <c r="C698" t="s">
        <v>14</v>
      </c>
      <c r="D698">
        <v>189388</v>
      </c>
      <c r="E698">
        <v>158646</v>
      </c>
      <c r="F698">
        <v>30742</v>
      </c>
      <c r="G698">
        <v>24295</v>
      </c>
      <c r="H698">
        <v>423563</v>
      </c>
      <c r="I698">
        <v>237653</v>
      </c>
      <c r="J698">
        <v>185910</v>
      </c>
    </row>
    <row r="699" spans="1:10" x14ac:dyDescent="0.25">
      <c r="A699" s="1">
        <v>44439</v>
      </c>
      <c r="B699" t="s">
        <v>12</v>
      </c>
      <c r="C699" t="s">
        <v>15</v>
      </c>
      <c r="D699">
        <v>171853</v>
      </c>
      <c r="E699">
        <v>124046</v>
      </c>
      <c r="F699">
        <v>47807</v>
      </c>
      <c r="G699">
        <v>42281</v>
      </c>
      <c r="H699">
        <v>701608</v>
      </c>
      <c r="I699">
        <v>227795</v>
      </c>
      <c r="J699">
        <v>473813</v>
      </c>
    </row>
    <row r="700" spans="1:10" x14ac:dyDescent="0.25">
      <c r="A700" s="1">
        <v>44439</v>
      </c>
      <c r="B700" t="s">
        <v>12</v>
      </c>
      <c r="C700" t="s">
        <v>16</v>
      </c>
      <c r="D700">
        <v>188668</v>
      </c>
      <c r="E700">
        <v>142325</v>
      </c>
      <c r="F700">
        <v>46343</v>
      </c>
      <c r="G700">
        <v>26776</v>
      </c>
      <c r="H700">
        <v>673620</v>
      </c>
      <c r="I700">
        <v>720307</v>
      </c>
      <c r="J700">
        <v>-46687</v>
      </c>
    </row>
    <row r="701" spans="1:10" x14ac:dyDescent="0.25">
      <c r="A701" s="1">
        <v>44439</v>
      </c>
      <c r="B701" t="s">
        <v>12</v>
      </c>
      <c r="C701" t="s">
        <v>17</v>
      </c>
      <c r="D701">
        <v>161944</v>
      </c>
      <c r="E701">
        <v>138002</v>
      </c>
      <c r="F701">
        <v>23942</v>
      </c>
      <c r="G701">
        <v>6523</v>
      </c>
      <c r="H701">
        <v>873590</v>
      </c>
      <c r="I701">
        <v>773222</v>
      </c>
      <c r="J701">
        <v>100368</v>
      </c>
    </row>
    <row r="702" spans="1:10" x14ac:dyDescent="0.25">
      <c r="A702" s="1">
        <v>44439</v>
      </c>
      <c r="B702" t="s">
        <v>13</v>
      </c>
      <c r="C702" t="s">
        <v>14</v>
      </c>
      <c r="D702">
        <v>143355</v>
      </c>
      <c r="E702">
        <v>91259</v>
      </c>
      <c r="F702">
        <v>52096</v>
      </c>
      <c r="G702">
        <v>46325</v>
      </c>
      <c r="H702">
        <v>755083</v>
      </c>
      <c r="I702">
        <v>607820</v>
      </c>
      <c r="J702">
        <v>147263</v>
      </c>
    </row>
    <row r="703" spans="1:10" x14ac:dyDescent="0.25">
      <c r="A703" s="1">
        <v>44439</v>
      </c>
      <c r="B703" t="s">
        <v>13</v>
      </c>
      <c r="C703" t="s">
        <v>15</v>
      </c>
      <c r="D703">
        <v>108770</v>
      </c>
      <c r="E703">
        <v>71093</v>
      </c>
      <c r="F703">
        <v>37677</v>
      </c>
      <c r="G703">
        <v>18874</v>
      </c>
      <c r="H703">
        <v>593409</v>
      </c>
      <c r="I703">
        <v>462455</v>
      </c>
      <c r="J703">
        <v>130954</v>
      </c>
    </row>
    <row r="704" spans="1:10" x14ac:dyDescent="0.25">
      <c r="A704" s="1">
        <v>44439</v>
      </c>
      <c r="B704" t="s">
        <v>13</v>
      </c>
      <c r="C704" t="s">
        <v>16</v>
      </c>
      <c r="D704">
        <v>117569</v>
      </c>
      <c r="E704">
        <v>71190</v>
      </c>
      <c r="F704">
        <v>46379</v>
      </c>
      <c r="G704">
        <v>27707</v>
      </c>
      <c r="H704">
        <v>898112</v>
      </c>
      <c r="I704">
        <v>787687</v>
      </c>
      <c r="J704">
        <v>110425</v>
      </c>
    </row>
    <row r="705" spans="1:10" x14ac:dyDescent="0.25">
      <c r="A705" s="1">
        <v>44439</v>
      </c>
      <c r="B705" t="s">
        <v>13</v>
      </c>
      <c r="C705" t="s">
        <v>17</v>
      </c>
      <c r="D705">
        <v>142070</v>
      </c>
      <c r="E705">
        <v>145925</v>
      </c>
      <c r="F705">
        <v>-3855</v>
      </c>
      <c r="G705">
        <v>-16284</v>
      </c>
      <c r="H705">
        <v>726549</v>
      </c>
      <c r="I705">
        <v>257584</v>
      </c>
      <c r="J705">
        <v>468965</v>
      </c>
    </row>
    <row r="706" spans="1:10" x14ac:dyDescent="0.25">
      <c r="A706" s="1">
        <v>44469</v>
      </c>
      <c r="B706" t="s">
        <v>10</v>
      </c>
      <c r="C706" t="s">
        <v>14</v>
      </c>
      <c r="D706">
        <v>106716</v>
      </c>
      <c r="E706">
        <v>146795</v>
      </c>
      <c r="F706">
        <v>-40079</v>
      </c>
      <c r="G706">
        <v>-57628</v>
      </c>
      <c r="H706">
        <v>859738</v>
      </c>
      <c r="I706">
        <v>664871</v>
      </c>
      <c r="J706">
        <v>194867</v>
      </c>
    </row>
    <row r="707" spans="1:10" x14ac:dyDescent="0.25">
      <c r="A707" s="1">
        <v>44469</v>
      </c>
      <c r="B707" t="s">
        <v>10</v>
      </c>
      <c r="C707" t="s">
        <v>15</v>
      </c>
      <c r="D707">
        <v>185371</v>
      </c>
      <c r="E707">
        <v>89033</v>
      </c>
      <c r="F707">
        <v>96338</v>
      </c>
      <c r="G707">
        <v>83722</v>
      </c>
      <c r="H707">
        <v>311032</v>
      </c>
      <c r="I707">
        <v>306940</v>
      </c>
      <c r="J707">
        <v>4092</v>
      </c>
    </row>
    <row r="708" spans="1:10" x14ac:dyDescent="0.25">
      <c r="A708" s="1">
        <v>44469</v>
      </c>
      <c r="B708" t="s">
        <v>10</v>
      </c>
      <c r="C708" t="s">
        <v>16</v>
      </c>
      <c r="D708">
        <v>142604</v>
      </c>
      <c r="E708">
        <v>128336</v>
      </c>
      <c r="F708">
        <v>14268</v>
      </c>
      <c r="G708">
        <v>-3886</v>
      </c>
      <c r="H708">
        <v>426727</v>
      </c>
      <c r="I708">
        <v>173869</v>
      </c>
      <c r="J708">
        <v>252858</v>
      </c>
    </row>
    <row r="709" spans="1:10" x14ac:dyDescent="0.25">
      <c r="A709" s="1">
        <v>44469</v>
      </c>
      <c r="B709" t="s">
        <v>10</v>
      </c>
      <c r="C709" t="s">
        <v>17</v>
      </c>
      <c r="D709">
        <v>105410</v>
      </c>
      <c r="E709">
        <v>143375</v>
      </c>
      <c r="F709">
        <v>-37965</v>
      </c>
      <c r="G709">
        <v>-49857</v>
      </c>
      <c r="H709">
        <v>918675</v>
      </c>
      <c r="I709">
        <v>302416</v>
      </c>
      <c r="J709">
        <v>616259</v>
      </c>
    </row>
    <row r="710" spans="1:10" x14ac:dyDescent="0.25">
      <c r="A710" s="1">
        <v>44469</v>
      </c>
      <c r="B710" t="s">
        <v>11</v>
      </c>
      <c r="C710" t="s">
        <v>14</v>
      </c>
      <c r="D710">
        <v>106796</v>
      </c>
      <c r="E710">
        <v>146716</v>
      </c>
      <c r="F710">
        <v>-39920</v>
      </c>
      <c r="G710">
        <v>-50013</v>
      </c>
      <c r="H710">
        <v>767344</v>
      </c>
      <c r="I710">
        <v>510925</v>
      </c>
      <c r="J710">
        <v>256419</v>
      </c>
    </row>
    <row r="711" spans="1:10" x14ac:dyDescent="0.25">
      <c r="A711" s="1">
        <v>44469</v>
      </c>
      <c r="B711" t="s">
        <v>11</v>
      </c>
      <c r="C711" t="s">
        <v>15</v>
      </c>
      <c r="D711">
        <v>158557</v>
      </c>
      <c r="E711">
        <v>77543</v>
      </c>
      <c r="F711">
        <v>81014</v>
      </c>
      <c r="G711">
        <v>71364</v>
      </c>
      <c r="H711">
        <v>949971</v>
      </c>
      <c r="I711">
        <v>596507</v>
      </c>
      <c r="J711">
        <v>353464</v>
      </c>
    </row>
    <row r="712" spans="1:10" x14ac:dyDescent="0.25">
      <c r="A712" s="1">
        <v>44469</v>
      </c>
      <c r="B712" t="s">
        <v>11</v>
      </c>
      <c r="C712" t="s">
        <v>16</v>
      </c>
      <c r="D712">
        <v>196038</v>
      </c>
      <c r="E712">
        <v>76724</v>
      </c>
      <c r="F712">
        <v>119314</v>
      </c>
      <c r="G712">
        <v>110486</v>
      </c>
      <c r="H712">
        <v>316656</v>
      </c>
      <c r="I712">
        <v>117087</v>
      </c>
      <c r="J712">
        <v>199569</v>
      </c>
    </row>
    <row r="713" spans="1:10" x14ac:dyDescent="0.25">
      <c r="A713" s="1">
        <v>44469</v>
      </c>
      <c r="B713" t="s">
        <v>11</v>
      </c>
      <c r="C713" t="s">
        <v>17</v>
      </c>
      <c r="D713">
        <v>112605</v>
      </c>
      <c r="E713">
        <v>91337</v>
      </c>
      <c r="F713">
        <v>21268</v>
      </c>
      <c r="G713">
        <v>10786</v>
      </c>
      <c r="H713">
        <v>685757</v>
      </c>
      <c r="I713">
        <v>282024</v>
      </c>
      <c r="J713">
        <v>403733</v>
      </c>
    </row>
    <row r="714" spans="1:10" x14ac:dyDescent="0.25">
      <c r="A714" s="1">
        <v>44469</v>
      </c>
      <c r="B714" t="s">
        <v>12</v>
      </c>
      <c r="C714" t="s">
        <v>14</v>
      </c>
      <c r="D714">
        <v>105463</v>
      </c>
      <c r="E714">
        <v>130448</v>
      </c>
      <c r="F714">
        <v>-24985</v>
      </c>
      <c r="G714">
        <v>-34633</v>
      </c>
      <c r="H714">
        <v>592720</v>
      </c>
      <c r="I714">
        <v>395767</v>
      </c>
      <c r="J714">
        <v>196953</v>
      </c>
    </row>
    <row r="715" spans="1:10" x14ac:dyDescent="0.25">
      <c r="A715" s="1">
        <v>44469</v>
      </c>
      <c r="B715" t="s">
        <v>12</v>
      </c>
      <c r="C715" t="s">
        <v>15</v>
      </c>
      <c r="D715">
        <v>159156</v>
      </c>
      <c r="E715">
        <v>95634</v>
      </c>
      <c r="F715">
        <v>63522</v>
      </c>
      <c r="G715">
        <v>46688</v>
      </c>
      <c r="H715">
        <v>576742</v>
      </c>
      <c r="I715">
        <v>411478</v>
      </c>
      <c r="J715">
        <v>165264</v>
      </c>
    </row>
    <row r="716" spans="1:10" x14ac:dyDescent="0.25">
      <c r="A716" s="1">
        <v>44469</v>
      </c>
      <c r="B716" t="s">
        <v>12</v>
      </c>
      <c r="C716" t="s">
        <v>16</v>
      </c>
      <c r="D716">
        <v>168648</v>
      </c>
      <c r="E716">
        <v>82054</v>
      </c>
      <c r="F716">
        <v>86594</v>
      </c>
      <c r="G716">
        <v>77102</v>
      </c>
      <c r="H716">
        <v>746495</v>
      </c>
      <c r="I716">
        <v>573866</v>
      </c>
      <c r="J716">
        <v>172629</v>
      </c>
    </row>
    <row r="717" spans="1:10" x14ac:dyDescent="0.25">
      <c r="A717" s="1">
        <v>44469</v>
      </c>
      <c r="B717" t="s">
        <v>12</v>
      </c>
      <c r="C717" t="s">
        <v>17</v>
      </c>
      <c r="D717">
        <v>199821</v>
      </c>
      <c r="E717">
        <v>141554</v>
      </c>
      <c r="F717">
        <v>58267</v>
      </c>
      <c r="G717">
        <v>48265</v>
      </c>
      <c r="H717">
        <v>807564</v>
      </c>
      <c r="I717">
        <v>414925</v>
      </c>
      <c r="J717">
        <v>392639</v>
      </c>
    </row>
    <row r="718" spans="1:10" x14ac:dyDescent="0.25">
      <c r="A718" s="1">
        <v>44469</v>
      </c>
      <c r="B718" t="s">
        <v>13</v>
      </c>
      <c r="C718" t="s">
        <v>14</v>
      </c>
      <c r="D718">
        <v>152780</v>
      </c>
      <c r="E718">
        <v>121440</v>
      </c>
      <c r="F718">
        <v>31340</v>
      </c>
      <c r="G718">
        <v>14909</v>
      </c>
      <c r="H718">
        <v>732498</v>
      </c>
      <c r="I718">
        <v>668651</v>
      </c>
      <c r="J718">
        <v>63847</v>
      </c>
    </row>
    <row r="719" spans="1:10" x14ac:dyDescent="0.25">
      <c r="A719" s="1">
        <v>44469</v>
      </c>
      <c r="B719" t="s">
        <v>13</v>
      </c>
      <c r="C719" t="s">
        <v>15</v>
      </c>
      <c r="D719">
        <v>178279</v>
      </c>
      <c r="E719">
        <v>120348</v>
      </c>
      <c r="F719">
        <v>57931</v>
      </c>
      <c r="G719">
        <v>46799</v>
      </c>
      <c r="H719">
        <v>700844</v>
      </c>
      <c r="I719">
        <v>303196</v>
      </c>
      <c r="J719">
        <v>397648</v>
      </c>
    </row>
    <row r="720" spans="1:10" x14ac:dyDescent="0.25">
      <c r="A720" s="1">
        <v>44469</v>
      </c>
      <c r="B720" t="s">
        <v>13</v>
      </c>
      <c r="C720" t="s">
        <v>16</v>
      </c>
      <c r="D720">
        <v>168847</v>
      </c>
      <c r="E720">
        <v>82432</v>
      </c>
      <c r="F720">
        <v>86415</v>
      </c>
      <c r="G720">
        <v>69851</v>
      </c>
      <c r="H720">
        <v>919449</v>
      </c>
      <c r="I720">
        <v>758681</v>
      </c>
      <c r="J720">
        <v>160768</v>
      </c>
    </row>
    <row r="721" spans="1:10" x14ac:dyDescent="0.25">
      <c r="A721" s="1">
        <v>44469</v>
      </c>
      <c r="B721" t="s">
        <v>13</v>
      </c>
      <c r="C721" t="s">
        <v>17</v>
      </c>
      <c r="D721">
        <v>181348</v>
      </c>
      <c r="E721">
        <v>97383</v>
      </c>
      <c r="F721">
        <v>83965</v>
      </c>
      <c r="G721">
        <v>65819</v>
      </c>
      <c r="H721">
        <v>847341</v>
      </c>
      <c r="I721">
        <v>572406</v>
      </c>
      <c r="J721">
        <v>274935</v>
      </c>
    </row>
    <row r="722" spans="1:10" x14ac:dyDescent="0.25">
      <c r="A722" s="1">
        <v>44500</v>
      </c>
      <c r="B722" t="s">
        <v>10</v>
      </c>
      <c r="C722" t="s">
        <v>14</v>
      </c>
      <c r="D722">
        <v>152893</v>
      </c>
      <c r="E722">
        <v>95820</v>
      </c>
      <c r="F722">
        <v>57073</v>
      </c>
      <c r="G722">
        <v>45499</v>
      </c>
      <c r="H722">
        <v>334832</v>
      </c>
      <c r="I722">
        <v>253262</v>
      </c>
      <c r="J722">
        <v>81570</v>
      </c>
    </row>
    <row r="723" spans="1:10" x14ac:dyDescent="0.25">
      <c r="A723" s="1">
        <v>44500</v>
      </c>
      <c r="B723" t="s">
        <v>10</v>
      </c>
      <c r="C723" t="s">
        <v>15</v>
      </c>
      <c r="D723">
        <v>167411</v>
      </c>
      <c r="E723">
        <v>83377</v>
      </c>
      <c r="F723">
        <v>84034</v>
      </c>
      <c r="G723">
        <v>65065</v>
      </c>
      <c r="H723">
        <v>238211</v>
      </c>
      <c r="I723">
        <v>313981</v>
      </c>
      <c r="J723">
        <v>-75770</v>
      </c>
    </row>
    <row r="724" spans="1:10" x14ac:dyDescent="0.25">
      <c r="A724" s="1">
        <v>44500</v>
      </c>
      <c r="B724" t="s">
        <v>10</v>
      </c>
      <c r="C724" t="s">
        <v>16</v>
      </c>
      <c r="D724">
        <v>103744</v>
      </c>
      <c r="E724">
        <v>84995</v>
      </c>
      <c r="F724">
        <v>18749</v>
      </c>
      <c r="G724">
        <v>13156</v>
      </c>
      <c r="H724">
        <v>953298</v>
      </c>
      <c r="I724">
        <v>658830</v>
      </c>
      <c r="J724">
        <v>294468</v>
      </c>
    </row>
    <row r="725" spans="1:10" x14ac:dyDescent="0.25">
      <c r="A725" s="1">
        <v>44500</v>
      </c>
      <c r="B725" t="s">
        <v>10</v>
      </c>
      <c r="C725" t="s">
        <v>17</v>
      </c>
      <c r="D725">
        <v>110651</v>
      </c>
      <c r="E725">
        <v>159239</v>
      </c>
      <c r="F725">
        <v>-48588</v>
      </c>
      <c r="G725">
        <v>-66983</v>
      </c>
      <c r="H725">
        <v>950704</v>
      </c>
      <c r="I725">
        <v>537625</v>
      </c>
      <c r="J725">
        <v>413079</v>
      </c>
    </row>
    <row r="726" spans="1:10" x14ac:dyDescent="0.25">
      <c r="A726" s="1">
        <v>44500</v>
      </c>
      <c r="B726" t="s">
        <v>11</v>
      </c>
      <c r="C726" t="s">
        <v>14</v>
      </c>
      <c r="D726">
        <v>124306</v>
      </c>
      <c r="E726">
        <v>79086</v>
      </c>
      <c r="F726">
        <v>45220</v>
      </c>
      <c r="G726">
        <v>25844</v>
      </c>
      <c r="H726">
        <v>523494</v>
      </c>
      <c r="I726">
        <v>433569</v>
      </c>
      <c r="J726">
        <v>89925</v>
      </c>
    </row>
    <row r="727" spans="1:10" x14ac:dyDescent="0.25">
      <c r="A727" s="1">
        <v>44500</v>
      </c>
      <c r="B727" t="s">
        <v>11</v>
      </c>
      <c r="C727" t="s">
        <v>15</v>
      </c>
      <c r="D727">
        <v>136636</v>
      </c>
      <c r="E727">
        <v>146120</v>
      </c>
      <c r="F727">
        <v>-9484</v>
      </c>
      <c r="G727">
        <v>-14685</v>
      </c>
      <c r="H727">
        <v>644865</v>
      </c>
      <c r="I727">
        <v>527826</v>
      </c>
      <c r="J727">
        <v>117039</v>
      </c>
    </row>
    <row r="728" spans="1:10" x14ac:dyDescent="0.25">
      <c r="A728" s="1">
        <v>44500</v>
      </c>
      <c r="B728" t="s">
        <v>11</v>
      </c>
      <c r="C728" t="s">
        <v>16</v>
      </c>
      <c r="D728">
        <v>110058</v>
      </c>
      <c r="E728">
        <v>134637</v>
      </c>
      <c r="F728">
        <v>-24579</v>
      </c>
      <c r="G728">
        <v>-42076</v>
      </c>
      <c r="H728">
        <v>264200</v>
      </c>
      <c r="I728">
        <v>205848</v>
      </c>
      <c r="J728">
        <v>58352</v>
      </c>
    </row>
    <row r="729" spans="1:10" x14ac:dyDescent="0.25">
      <c r="A729" s="1">
        <v>44500</v>
      </c>
      <c r="B729" t="s">
        <v>11</v>
      </c>
      <c r="C729" t="s">
        <v>17</v>
      </c>
      <c r="D729">
        <v>146619</v>
      </c>
      <c r="E729">
        <v>77154</v>
      </c>
      <c r="F729">
        <v>69465</v>
      </c>
      <c r="G729">
        <v>61310</v>
      </c>
      <c r="H729">
        <v>980741</v>
      </c>
      <c r="I729">
        <v>162068</v>
      </c>
      <c r="J729">
        <v>818673</v>
      </c>
    </row>
    <row r="730" spans="1:10" x14ac:dyDescent="0.25">
      <c r="A730" s="1">
        <v>44500</v>
      </c>
      <c r="B730" t="s">
        <v>12</v>
      </c>
      <c r="C730" t="s">
        <v>14</v>
      </c>
      <c r="D730">
        <v>177313</v>
      </c>
      <c r="E730">
        <v>159932</v>
      </c>
      <c r="F730">
        <v>17381</v>
      </c>
      <c r="G730">
        <v>-1608</v>
      </c>
      <c r="H730">
        <v>888514</v>
      </c>
      <c r="I730">
        <v>237103</v>
      </c>
      <c r="J730">
        <v>651411</v>
      </c>
    </row>
    <row r="731" spans="1:10" x14ac:dyDescent="0.25">
      <c r="A731" s="1">
        <v>44500</v>
      </c>
      <c r="B731" t="s">
        <v>12</v>
      </c>
      <c r="C731" t="s">
        <v>15</v>
      </c>
      <c r="D731">
        <v>193533</v>
      </c>
      <c r="E731">
        <v>131975</v>
      </c>
      <c r="F731">
        <v>61558</v>
      </c>
      <c r="G731">
        <v>50157</v>
      </c>
      <c r="H731">
        <v>449768</v>
      </c>
      <c r="I731">
        <v>784029</v>
      </c>
      <c r="J731">
        <v>-334261</v>
      </c>
    </row>
    <row r="732" spans="1:10" x14ac:dyDescent="0.25">
      <c r="A732" s="1">
        <v>44500</v>
      </c>
      <c r="B732" t="s">
        <v>12</v>
      </c>
      <c r="C732" t="s">
        <v>16</v>
      </c>
      <c r="D732">
        <v>194475</v>
      </c>
      <c r="E732">
        <v>62282</v>
      </c>
      <c r="F732">
        <v>132193</v>
      </c>
      <c r="G732">
        <v>125337</v>
      </c>
      <c r="H732">
        <v>903798</v>
      </c>
      <c r="I732">
        <v>320972</v>
      </c>
      <c r="J732">
        <v>582826</v>
      </c>
    </row>
    <row r="733" spans="1:10" x14ac:dyDescent="0.25">
      <c r="A733" s="1">
        <v>44500</v>
      </c>
      <c r="B733" t="s">
        <v>12</v>
      </c>
      <c r="C733" t="s">
        <v>17</v>
      </c>
      <c r="D733">
        <v>167534</v>
      </c>
      <c r="E733">
        <v>91705</v>
      </c>
      <c r="F733">
        <v>75829</v>
      </c>
      <c r="G733">
        <v>65353</v>
      </c>
      <c r="H733">
        <v>892797</v>
      </c>
      <c r="I733">
        <v>308944</v>
      </c>
      <c r="J733">
        <v>583853</v>
      </c>
    </row>
    <row r="734" spans="1:10" x14ac:dyDescent="0.25">
      <c r="A734" s="1">
        <v>44500</v>
      </c>
      <c r="B734" t="s">
        <v>13</v>
      </c>
      <c r="C734" t="s">
        <v>14</v>
      </c>
      <c r="D734">
        <v>174878</v>
      </c>
      <c r="E734">
        <v>132982</v>
      </c>
      <c r="F734">
        <v>41896</v>
      </c>
      <c r="G734">
        <v>35465</v>
      </c>
      <c r="H734">
        <v>207461</v>
      </c>
      <c r="I734">
        <v>724411</v>
      </c>
      <c r="J734">
        <v>-516950</v>
      </c>
    </row>
    <row r="735" spans="1:10" x14ac:dyDescent="0.25">
      <c r="A735" s="1">
        <v>44500</v>
      </c>
      <c r="B735" t="s">
        <v>13</v>
      </c>
      <c r="C735" t="s">
        <v>15</v>
      </c>
      <c r="D735">
        <v>110516</v>
      </c>
      <c r="E735">
        <v>139285</v>
      </c>
      <c r="F735">
        <v>-28769</v>
      </c>
      <c r="G735">
        <v>-34899</v>
      </c>
      <c r="H735">
        <v>583395</v>
      </c>
      <c r="I735">
        <v>594178</v>
      </c>
      <c r="J735">
        <v>-10783</v>
      </c>
    </row>
    <row r="736" spans="1:10" x14ac:dyDescent="0.25">
      <c r="A736" s="1">
        <v>44500</v>
      </c>
      <c r="B736" t="s">
        <v>13</v>
      </c>
      <c r="C736" t="s">
        <v>16</v>
      </c>
      <c r="D736">
        <v>136268</v>
      </c>
      <c r="E736">
        <v>150486</v>
      </c>
      <c r="F736">
        <v>-14218</v>
      </c>
      <c r="G736">
        <v>-21338</v>
      </c>
      <c r="H736">
        <v>892148</v>
      </c>
      <c r="I736">
        <v>660315</v>
      </c>
      <c r="J736">
        <v>231833</v>
      </c>
    </row>
    <row r="737" spans="1:10" x14ac:dyDescent="0.25">
      <c r="A737" s="1">
        <v>44500</v>
      </c>
      <c r="B737" t="s">
        <v>13</v>
      </c>
      <c r="C737" t="s">
        <v>17</v>
      </c>
      <c r="D737">
        <v>193547</v>
      </c>
      <c r="E737">
        <v>102849</v>
      </c>
      <c r="F737">
        <v>90698</v>
      </c>
      <c r="G737">
        <v>83875</v>
      </c>
      <c r="H737">
        <v>873218</v>
      </c>
      <c r="I737">
        <v>703291</v>
      </c>
      <c r="J737">
        <v>169927</v>
      </c>
    </row>
    <row r="738" spans="1:10" x14ac:dyDescent="0.25">
      <c r="A738" s="1">
        <v>44530</v>
      </c>
      <c r="B738" t="s">
        <v>10</v>
      </c>
      <c r="C738" t="s">
        <v>14</v>
      </c>
      <c r="D738">
        <v>152395</v>
      </c>
      <c r="E738">
        <v>99758</v>
      </c>
      <c r="F738">
        <v>52637</v>
      </c>
      <c r="G738">
        <v>42477</v>
      </c>
      <c r="H738">
        <v>530814</v>
      </c>
      <c r="I738">
        <v>182279</v>
      </c>
      <c r="J738">
        <v>348535</v>
      </c>
    </row>
    <row r="739" spans="1:10" x14ac:dyDescent="0.25">
      <c r="A739" s="1">
        <v>44530</v>
      </c>
      <c r="B739" t="s">
        <v>10</v>
      </c>
      <c r="C739" t="s">
        <v>15</v>
      </c>
      <c r="D739">
        <v>115434</v>
      </c>
      <c r="E739">
        <v>124047</v>
      </c>
      <c r="F739">
        <v>-8613</v>
      </c>
      <c r="G739">
        <v>-23846</v>
      </c>
      <c r="H739">
        <v>970042</v>
      </c>
      <c r="I739">
        <v>428821</v>
      </c>
      <c r="J739">
        <v>541221</v>
      </c>
    </row>
    <row r="740" spans="1:10" x14ac:dyDescent="0.25">
      <c r="A740" s="1">
        <v>44530</v>
      </c>
      <c r="B740" t="s">
        <v>10</v>
      </c>
      <c r="C740" t="s">
        <v>16</v>
      </c>
      <c r="D740">
        <v>183555</v>
      </c>
      <c r="E740">
        <v>145920</v>
      </c>
      <c r="F740">
        <v>37635</v>
      </c>
      <c r="G740">
        <v>22500</v>
      </c>
      <c r="H740">
        <v>376806</v>
      </c>
      <c r="I740">
        <v>581719</v>
      </c>
      <c r="J740">
        <v>-204913</v>
      </c>
    </row>
    <row r="741" spans="1:10" x14ac:dyDescent="0.25">
      <c r="A741" s="1">
        <v>44530</v>
      </c>
      <c r="B741" t="s">
        <v>10</v>
      </c>
      <c r="C741" t="s">
        <v>17</v>
      </c>
      <c r="D741">
        <v>140603</v>
      </c>
      <c r="E741">
        <v>136708</v>
      </c>
      <c r="F741">
        <v>3895</v>
      </c>
      <c r="G741">
        <v>-1111</v>
      </c>
      <c r="H741">
        <v>268803</v>
      </c>
      <c r="I741">
        <v>532548</v>
      </c>
      <c r="J741">
        <v>-263745</v>
      </c>
    </row>
    <row r="742" spans="1:10" x14ac:dyDescent="0.25">
      <c r="A742" s="1">
        <v>44530</v>
      </c>
      <c r="B742" t="s">
        <v>11</v>
      </c>
      <c r="C742" t="s">
        <v>14</v>
      </c>
      <c r="D742">
        <v>191703</v>
      </c>
      <c r="E742">
        <v>81312</v>
      </c>
      <c r="F742">
        <v>110391</v>
      </c>
      <c r="G742">
        <v>93935</v>
      </c>
      <c r="H742">
        <v>677742</v>
      </c>
      <c r="I742">
        <v>799539</v>
      </c>
      <c r="J742">
        <v>-121797</v>
      </c>
    </row>
    <row r="743" spans="1:10" x14ac:dyDescent="0.25">
      <c r="A743" s="1">
        <v>44530</v>
      </c>
      <c r="B743" t="s">
        <v>11</v>
      </c>
      <c r="C743" t="s">
        <v>15</v>
      </c>
      <c r="D743">
        <v>171442</v>
      </c>
      <c r="E743">
        <v>100379</v>
      </c>
      <c r="F743">
        <v>71063</v>
      </c>
      <c r="G743">
        <v>65150</v>
      </c>
      <c r="H743">
        <v>988443</v>
      </c>
      <c r="I743">
        <v>609346</v>
      </c>
      <c r="J743">
        <v>379097</v>
      </c>
    </row>
    <row r="744" spans="1:10" x14ac:dyDescent="0.25">
      <c r="A744" s="1">
        <v>44530</v>
      </c>
      <c r="B744" t="s">
        <v>11</v>
      </c>
      <c r="C744" t="s">
        <v>16</v>
      </c>
      <c r="D744">
        <v>144014</v>
      </c>
      <c r="E744">
        <v>71738</v>
      </c>
      <c r="F744">
        <v>72276</v>
      </c>
      <c r="G744">
        <v>54863</v>
      </c>
      <c r="H744">
        <v>378570</v>
      </c>
      <c r="I744">
        <v>609733</v>
      </c>
      <c r="J744">
        <v>-231163</v>
      </c>
    </row>
    <row r="745" spans="1:10" x14ac:dyDescent="0.25">
      <c r="A745" s="1">
        <v>44530</v>
      </c>
      <c r="B745" t="s">
        <v>11</v>
      </c>
      <c r="C745" t="s">
        <v>17</v>
      </c>
      <c r="D745">
        <v>108767</v>
      </c>
      <c r="E745">
        <v>82852</v>
      </c>
      <c r="F745">
        <v>25915</v>
      </c>
      <c r="G745">
        <v>7212</v>
      </c>
      <c r="H745">
        <v>594145</v>
      </c>
      <c r="I745">
        <v>611603</v>
      </c>
      <c r="J745">
        <v>-17458</v>
      </c>
    </row>
    <row r="746" spans="1:10" x14ac:dyDescent="0.25">
      <c r="A746" s="1">
        <v>44530</v>
      </c>
      <c r="B746" t="s">
        <v>12</v>
      </c>
      <c r="C746" t="s">
        <v>14</v>
      </c>
      <c r="D746">
        <v>191575</v>
      </c>
      <c r="E746">
        <v>155040</v>
      </c>
      <c r="F746">
        <v>36535</v>
      </c>
      <c r="G746">
        <v>30481</v>
      </c>
      <c r="H746">
        <v>379587</v>
      </c>
      <c r="I746">
        <v>630032</v>
      </c>
      <c r="J746">
        <v>-250445</v>
      </c>
    </row>
    <row r="747" spans="1:10" x14ac:dyDescent="0.25">
      <c r="A747" s="1">
        <v>44530</v>
      </c>
      <c r="B747" t="s">
        <v>12</v>
      </c>
      <c r="C747" t="s">
        <v>15</v>
      </c>
      <c r="D747">
        <v>183820</v>
      </c>
      <c r="E747">
        <v>102417</v>
      </c>
      <c r="F747">
        <v>81403</v>
      </c>
      <c r="G747">
        <v>69423</v>
      </c>
      <c r="H747">
        <v>875159</v>
      </c>
      <c r="I747">
        <v>460890</v>
      </c>
      <c r="J747">
        <v>414269</v>
      </c>
    </row>
    <row r="748" spans="1:10" x14ac:dyDescent="0.25">
      <c r="A748" s="1">
        <v>44530</v>
      </c>
      <c r="B748" t="s">
        <v>12</v>
      </c>
      <c r="C748" t="s">
        <v>16</v>
      </c>
      <c r="D748">
        <v>193762</v>
      </c>
      <c r="E748">
        <v>130188</v>
      </c>
      <c r="F748">
        <v>63574</v>
      </c>
      <c r="G748">
        <v>50635</v>
      </c>
      <c r="H748">
        <v>977881</v>
      </c>
      <c r="I748">
        <v>631885</v>
      </c>
      <c r="J748">
        <v>345996</v>
      </c>
    </row>
    <row r="749" spans="1:10" x14ac:dyDescent="0.25">
      <c r="A749" s="1">
        <v>44530</v>
      </c>
      <c r="B749" t="s">
        <v>12</v>
      </c>
      <c r="C749" t="s">
        <v>17</v>
      </c>
      <c r="D749">
        <v>147093</v>
      </c>
      <c r="E749">
        <v>97226</v>
      </c>
      <c r="F749">
        <v>49867</v>
      </c>
      <c r="G749">
        <v>38276</v>
      </c>
      <c r="H749">
        <v>576794</v>
      </c>
      <c r="I749">
        <v>584585</v>
      </c>
      <c r="J749">
        <v>-7791</v>
      </c>
    </row>
    <row r="750" spans="1:10" x14ac:dyDescent="0.25">
      <c r="A750" s="1">
        <v>44530</v>
      </c>
      <c r="B750" t="s">
        <v>13</v>
      </c>
      <c r="C750" t="s">
        <v>14</v>
      </c>
      <c r="D750">
        <v>177362</v>
      </c>
      <c r="E750">
        <v>86417</v>
      </c>
      <c r="F750">
        <v>90945</v>
      </c>
      <c r="G750">
        <v>83636</v>
      </c>
      <c r="H750">
        <v>672890</v>
      </c>
      <c r="I750">
        <v>483100</v>
      </c>
      <c r="J750">
        <v>189790</v>
      </c>
    </row>
    <row r="751" spans="1:10" x14ac:dyDescent="0.25">
      <c r="A751" s="1">
        <v>44530</v>
      </c>
      <c r="B751" t="s">
        <v>13</v>
      </c>
      <c r="C751" t="s">
        <v>15</v>
      </c>
      <c r="D751">
        <v>153161</v>
      </c>
      <c r="E751">
        <v>62169</v>
      </c>
      <c r="F751">
        <v>90992</v>
      </c>
      <c r="G751">
        <v>83820</v>
      </c>
      <c r="H751">
        <v>353124</v>
      </c>
      <c r="I751">
        <v>565065</v>
      </c>
      <c r="J751">
        <v>-211941</v>
      </c>
    </row>
    <row r="752" spans="1:10" x14ac:dyDescent="0.25">
      <c r="A752" s="1">
        <v>44530</v>
      </c>
      <c r="B752" t="s">
        <v>13</v>
      </c>
      <c r="C752" t="s">
        <v>16</v>
      </c>
      <c r="D752">
        <v>173851</v>
      </c>
      <c r="E752">
        <v>68036</v>
      </c>
      <c r="F752">
        <v>105815</v>
      </c>
      <c r="G752">
        <v>89465</v>
      </c>
      <c r="H752">
        <v>354245</v>
      </c>
      <c r="I752">
        <v>785763</v>
      </c>
      <c r="J752">
        <v>-431518</v>
      </c>
    </row>
    <row r="753" spans="1:10" x14ac:dyDescent="0.25">
      <c r="A753" s="1">
        <v>44530</v>
      </c>
      <c r="B753" t="s">
        <v>13</v>
      </c>
      <c r="C753" t="s">
        <v>17</v>
      </c>
      <c r="D753">
        <v>166321</v>
      </c>
      <c r="E753">
        <v>131675</v>
      </c>
      <c r="F753">
        <v>34646</v>
      </c>
      <c r="G753">
        <v>23302</v>
      </c>
      <c r="H753">
        <v>743088</v>
      </c>
      <c r="I753">
        <v>387516</v>
      </c>
      <c r="J753">
        <v>355572</v>
      </c>
    </row>
    <row r="754" spans="1:10" x14ac:dyDescent="0.25">
      <c r="A754" s="1">
        <v>44561</v>
      </c>
      <c r="B754" t="s">
        <v>10</v>
      </c>
      <c r="C754" t="s">
        <v>14</v>
      </c>
      <c r="D754">
        <v>161516</v>
      </c>
      <c r="E754">
        <v>80538</v>
      </c>
      <c r="F754">
        <v>80978</v>
      </c>
      <c r="G754">
        <v>61212</v>
      </c>
      <c r="H754">
        <v>533299</v>
      </c>
      <c r="I754">
        <v>159500</v>
      </c>
      <c r="J754">
        <v>373799</v>
      </c>
    </row>
    <row r="755" spans="1:10" x14ac:dyDescent="0.25">
      <c r="A755" s="1">
        <v>44561</v>
      </c>
      <c r="B755" t="s">
        <v>10</v>
      </c>
      <c r="C755" t="s">
        <v>15</v>
      </c>
      <c r="D755">
        <v>136575</v>
      </c>
      <c r="E755">
        <v>102261</v>
      </c>
      <c r="F755">
        <v>34314</v>
      </c>
      <c r="G755">
        <v>16959</v>
      </c>
      <c r="H755">
        <v>752004</v>
      </c>
      <c r="I755">
        <v>496452</v>
      </c>
      <c r="J755">
        <v>255552</v>
      </c>
    </row>
    <row r="756" spans="1:10" x14ac:dyDescent="0.25">
      <c r="A756" s="1">
        <v>44561</v>
      </c>
      <c r="B756" t="s">
        <v>10</v>
      </c>
      <c r="C756" t="s">
        <v>16</v>
      </c>
      <c r="D756">
        <v>115848</v>
      </c>
      <c r="E756">
        <v>62352</v>
      </c>
      <c r="F756">
        <v>53496</v>
      </c>
      <c r="G756">
        <v>46564</v>
      </c>
      <c r="H756">
        <v>732844</v>
      </c>
      <c r="I756">
        <v>448980</v>
      </c>
      <c r="J756">
        <v>283864</v>
      </c>
    </row>
    <row r="757" spans="1:10" x14ac:dyDescent="0.25">
      <c r="A757" s="1">
        <v>44561</v>
      </c>
      <c r="B757" t="s">
        <v>10</v>
      </c>
      <c r="C757" t="s">
        <v>17</v>
      </c>
      <c r="D757">
        <v>105498</v>
      </c>
      <c r="E757">
        <v>136118</v>
      </c>
      <c r="F757">
        <v>-30620</v>
      </c>
      <c r="G757">
        <v>-36566</v>
      </c>
      <c r="H757">
        <v>574313</v>
      </c>
      <c r="I757">
        <v>764929</v>
      </c>
      <c r="J757">
        <v>-190616</v>
      </c>
    </row>
    <row r="758" spans="1:10" x14ac:dyDescent="0.25">
      <c r="A758" s="1">
        <v>44561</v>
      </c>
      <c r="B758" t="s">
        <v>11</v>
      </c>
      <c r="C758" t="s">
        <v>14</v>
      </c>
      <c r="D758">
        <v>156882</v>
      </c>
      <c r="E758">
        <v>130393</v>
      </c>
      <c r="F758">
        <v>26489</v>
      </c>
      <c r="G758">
        <v>21149</v>
      </c>
      <c r="H758">
        <v>899309</v>
      </c>
      <c r="I758">
        <v>706590</v>
      </c>
      <c r="J758">
        <v>192719</v>
      </c>
    </row>
    <row r="759" spans="1:10" x14ac:dyDescent="0.25">
      <c r="A759" s="1">
        <v>44561</v>
      </c>
      <c r="B759" t="s">
        <v>11</v>
      </c>
      <c r="C759" t="s">
        <v>15</v>
      </c>
      <c r="D759">
        <v>162443</v>
      </c>
      <c r="E759">
        <v>151668</v>
      </c>
      <c r="F759">
        <v>10775</v>
      </c>
      <c r="G759">
        <v>-2716</v>
      </c>
      <c r="H759">
        <v>724426</v>
      </c>
      <c r="I759">
        <v>493574</v>
      </c>
      <c r="J759">
        <v>230852</v>
      </c>
    </row>
    <row r="760" spans="1:10" x14ac:dyDescent="0.25">
      <c r="A760" s="1">
        <v>44561</v>
      </c>
      <c r="B760" t="s">
        <v>11</v>
      </c>
      <c r="C760" t="s">
        <v>16</v>
      </c>
      <c r="D760">
        <v>175250</v>
      </c>
      <c r="E760">
        <v>145376</v>
      </c>
      <c r="F760">
        <v>29874</v>
      </c>
      <c r="G760">
        <v>23247</v>
      </c>
      <c r="H760">
        <v>356951</v>
      </c>
      <c r="I760">
        <v>662060</v>
      </c>
      <c r="J760">
        <v>-305109</v>
      </c>
    </row>
    <row r="761" spans="1:10" x14ac:dyDescent="0.25">
      <c r="A761" s="1">
        <v>44561</v>
      </c>
      <c r="B761" t="s">
        <v>11</v>
      </c>
      <c r="C761" t="s">
        <v>17</v>
      </c>
      <c r="D761">
        <v>158478</v>
      </c>
      <c r="E761">
        <v>124353</v>
      </c>
      <c r="F761">
        <v>34125</v>
      </c>
      <c r="G761">
        <v>18747</v>
      </c>
      <c r="H761">
        <v>344355</v>
      </c>
      <c r="I761">
        <v>794780</v>
      </c>
      <c r="J761">
        <v>-450425</v>
      </c>
    </row>
    <row r="762" spans="1:10" x14ac:dyDescent="0.25">
      <c r="A762" s="1">
        <v>44561</v>
      </c>
      <c r="B762" t="s">
        <v>12</v>
      </c>
      <c r="C762" t="s">
        <v>14</v>
      </c>
      <c r="D762">
        <v>155568</v>
      </c>
      <c r="E762">
        <v>145090</v>
      </c>
      <c r="F762">
        <v>10478</v>
      </c>
      <c r="G762">
        <v>1643</v>
      </c>
      <c r="H762">
        <v>693671</v>
      </c>
      <c r="I762">
        <v>699253</v>
      </c>
      <c r="J762">
        <v>-5582</v>
      </c>
    </row>
    <row r="763" spans="1:10" x14ac:dyDescent="0.25">
      <c r="A763" s="1">
        <v>44561</v>
      </c>
      <c r="B763" t="s">
        <v>12</v>
      </c>
      <c r="C763" t="s">
        <v>15</v>
      </c>
      <c r="D763">
        <v>146840</v>
      </c>
      <c r="E763">
        <v>104695</v>
      </c>
      <c r="F763">
        <v>42145</v>
      </c>
      <c r="G763">
        <v>30240</v>
      </c>
      <c r="H763">
        <v>284754</v>
      </c>
      <c r="I763">
        <v>702276</v>
      </c>
      <c r="J763">
        <v>-417522</v>
      </c>
    </row>
    <row r="764" spans="1:10" x14ac:dyDescent="0.25">
      <c r="A764" s="1">
        <v>44561</v>
      </c>
      <c r="B764" t="s">
        <v>12</v>
      </c>
      <c r="C764" t="s">
        <v>16</v>
      </c>
      <c r="D764">
        <v>158342</v>
      </c>
      <c r="E764">
        <v>78951</v>
      </c>
      <c r="F764">
        <v>79391</v>
      </c>
      <c r="G764">
        <v>73084</v>
      </c>
      <c r="H764">
        <v>280388</v>
      </c>
      <c r="I764">
        <v>339779</v>
      </c>
      <c r="J764">
        <v>-59391</v>
      </c>
    </row>
    <row r="765" spans="1:10" x14ac:dyDescent="0.25">
      <c r="A765" s="1">
        <v>44561</v>
      </c>
      <c r="B765" t="s">
        <v>12</v>
      </c>
      <c r="C765" t="s">
        <v>17</v>
      </c>
      <c r="D765">
        <v>192021</v>
      </c>
      <c r="E765">
        <v>135774</v>
      </c>
      <c r="F765">
        <v>56247</v>
      </c>
      <c r="G765">
        <v>45040</v>
      </c>
      <c r="H765">
        <v>332212</v>
      </c>
      <c r="I765">
        <v>512811</v>
      </c>
      <c r="J765">
        <v>-180599</v>
      </c>
    </row>
    <row r="766" spans="1:10" x14ac:dyDescent="0.25">
      <c r="A766" s="1">
        <v>44561</v>
      </c>
      <c r="B766" t="s">
        <v>13</v>
      </c>
      <c r="C766" t="s">
        <v>14</v>
      </c>
      <c r="D766">
        <v>176021</v>
      </c>
      <c r="E766">
        <v>88308</v>
      </c>
      <c r="F766">
        <v>87713</v>
      </c>
      <c r="G766">
        <v>70692</v>
      </c>
      <c r="H766">
        <v>226086</v>
      </c>
      <c r="I766">
        <v>379003</v>
      </c>
      <c r="J766">
        <v>-152917</v>
      </c>
    </row>
    <row r="767" spans="1:10" x14ac:dyDescent="0.25">
      <c r="A767" s="1">
        <v>44561</v>
      </c>
      <c r="B767" t="s">
        <v>13</v>
      </c>
      <c r="C767" t="s">
        <v>15</v>
      </c>
      <c r="D767">
        <v>107684</v>
      </c>
      <c r="E767">
        <v>151088</v>
      </c>
      <c r="F767">
        <v>-43404</v>
      </c>
      <c r="G767">
        <v>-49611</v>
      </c>
      <c r="H767">
        <v>770387</v>
      </c>
      <c r="I767">
        <v>690381</v>
      </c>
      <c r="J767">
        <v>80006</v>
      </c>
    </row>
    <row r="768" spans="1:10" x14ac:dyDescent="0.25">
      <c r="A768" s="1">
        <v>44561</v>
      </c>
      <c r="B768" t="s">
        <v>13</v>
      </c>
      <c r="C768" t="s">
        <v>16</v>
      </c>
      <c r="D768">
        <v>129689</v>
      </c>
      <c r="E768">
        <v>108651</v>
      </c>
      <c r="F768">
        <v>21038</v>
      </c>
      <c r="G768">
        <v>2145</v>
      </c>
      <c r="H768">
        <v>691024</v>
      </c>
      <c r="I768">
        <v>690706</v>
      </c>
      <c r="J768">
        <v>318</v>
      </c>
    </row>
    <row r="769" spans="1:10" x14ac:dyDescent="0.25">
      <c r="A769" s="1">
        <v>44561</v>
      </c>
      <c r="B769" t="s">
        <v>13</v>
      </c>
      <c r="C769" t="s">
        <v>17</v>
      </c>
      <c r="D769">
        <v>160011</v>
      </c>
      <c r="E769">
        <v>98635</v>
      </c>
      <c r="F769">
        <v>61376</v>
      </c>
      <c r="G769">
        <v>49413</v>
      </c>
      <c r="H769">
        <v>295071</v>
      </c>
      <c r="I769">
        <v>565918</v>
      </c>
      <c r="J769">
        <v>-270847</v>
      </c>
    </row>
    <row r="770" spans="1:10" x14ac:dyDescent="0.25">
      <c r="A770" s="1">
        <v>44592</v>
      </c>
      <c r="B770" t="s">
        <v>10</v>
      </c>
      <c r="C770" t="s">
        <v>14</v>
      </c>
      <c r="D770">
        <v>178518</v>
      </c>
      <c r="E770">
        <v>132805</v>
      </c>
      <c r="F770">
        <v>45713</v>
      </c>
      <c r="G770">
        <v>30911</v>
      </c>
      <c r="H770">
        <v>621280</v>
      </c>
      <c r="I770">
        <v>441207</v>
      </c>
      <c r="J770">
        <v>180073</v>
      </c>
    </row>
    <row r="771" spans="1:10" x14ac:dyDescent="0.25">
      <c r="A771" s="1">
        <v>44592</v>
      </c>
      <c r="B771" t="s">
        <v>10</v>
      </c>
      <c r="C771" t="s">
        <v>15</v>
      </c>
      <c r="D771">
        <v>102454</v>
      </c>
      <c r="E771">
        <v>80878</v>
      </c>
      <c r="F771">
        <v>21576</v>
      </c>
      <c r="G771">
        <v>14630</v>
      </c>
      <c r="H771">
        <v>393226</v>
      </c>
      <c r="I771">
        <v>244063</v>
      </c>
      <c r="J771">
        <v>149163</v>
      </c>
    </row>
    <row r="772" spans="1:10" x14ac:dyDescent="0.25">
      <c r="A772" s="1">
        <v>44592</v>
      </c>
      <c r="B772" t="s">
        <v>10</v>
      </c>
      <c r="C772" t="s">
        <v>16</v>
      </c>
      <c r="D772">
        <v>168344</v>
      </c>
      <c r="E772">
        <v>96593</v>
      </c>
      <c r="F772">
        <v>71751</v>
      </c>
      <c r="G772">
        <v>63215</v>
      </c>
      <c r="H772">
        <v>623602</v>
      </c>
      <c r="I772">
        <v>213613</v>
      </c>
      <c r="J772">
        <v>409989</v>
      </c>
    </row>
    <row r="773" spans="1:10" x14ac:dyDescent="0.25">
      <c r="A773" s="1">
        <v>44592</v>
      </c>
      <c r="B773" t="s">
        <v>10</v>
      </c>
      <c r="C773" t="s">
        <v>17</v>
      </c>
      <c r="D773">
        <v>169338</v>
      </c>
      <c r="E773">
        <v>154289</v>
      </c>
      <c r="F773">
        <v>15049</v>
      </c>
      <c r="G773">
        <v>5350</v>
      </c>
      <c r="H773">
        <v>742642</v>
      </c>
      <c r="I773">
        <v>384334</v>
      </c>
      <c r="J773">
        <v>358308</v>
      </c>
    </row>
    <row r="774" spans="1:10" x14ac:dyDescent="0.25">
      <c r="A774" s="1">
        <v>44592</v>
      </c>
      <c r="B774" t="s">
        <v>11</v>
      </c>
      <c r="C774" t="s">
        <v>14</v>
      </c>
      <c r="D774">
        <v>106142</v>
      </c>
      <c r="E774">
        <v>88398</v>
      </c>
      <c r="F774">
        <v>17744</v>
      </c>
      <c r="G774">
        <v>9925</v>
      </c>
      <c r="H774">
        <v>908770</v>
      </c>
      <c r="I774">
        <v>250575</v>
      </c>
      <c r="J774">
        <v>658195</v>
      </c>
    </row>
    <row r="775" spans="1:10" x14ac:dyDescent="0.25">
      <c r="A775" s="1">
        <v>44592</v>
      </c>
      <c r="B775" t="s">
        <v>11</v>
      </c>
      <c r="C775" t="s">
        <v>15</v>
      </c>
      <c r="D775">
        <v>148456</v>
      </c>
      <c r="E775">
        <v>142035</v>
      </c>
      <c r="F775">
        <v>6421</v>
      </c>
      <c r="G775">
        <v>-5663</v>
      </c>
      <c r="H775">
        <v>994448</v>
      </c>
      <c r="I775">
        <v>364528</v>
      </c>
      <c r="J775">
        <v>629920</v>
      </c>
    </row>
    <row r="776" spans="1:10" x14ac:dyDescent="0.25">
      <c r="A776" s="1">
        <v>44592</v>
      </c>
      <c r="B776" t="s">
        <v>11</v>
      </c>
      <c r="C776" t="s">
        <v>16</v>
      </c>
      <c r="D776">
        <v>162320</v>
      </c>
      <c r="E776">
        <v>75072</v>
      </c>
      <c r="F776">
        <v>87248</v>
      </c>
      <c r="G776">
        <v>78313</v>
      </c>
      <c r="H776">
        <v>835719</v>
      </c>
      <c r="I776">
        <v>664798</v>
      </c>
      <c r="J776">
        <v>170921</v>
      </c>
    </row>
    <row r="777" spans="1:10" x14ac:dyDescent="0.25">
      <c r="A777" s="1">
        <v>44592</v>
      </c>
      <c r="B777" t="s">
        <v>11</v>
      </c>
      <c r="C777" t="s">
        <v>17</v>
      </c>
      <c r="D777">
        <v>148933</v>
      </c>
      <c r="E777">
        <v>81826</v>
      </c>
      <c r="F777">
        <v>67107</v>
      </c>
      <c r="G777">
        <v>59617</v>
      </c>
      <c r="H777">
        <v>321668</v>
      </c>
      <c r="I777">
        <v>518734</v>
      </c>
      <c r="J777">
        <v>-197066</v>
      </c>
    </row>
    <row r="778" spans="1:10" x14ac:dyDescent="0.25">
      <c r="A778" s="1">
        <v>44592</v>
      </c>
      <c r="B778" t="s">
        <v>12</v>
      </c>
      <c r="C778" t="s">
        <v>14</v>
      </c>
      <c r="D778">
        <v>124045</v>
      </c>
      <c r="E778">
        <v>110876</v>
      </c>
      <c r="F778">
        <v>13169</v>
      </c>
      <c r="G778">
        <v>-2357</v>
      </c>
      <c r="H778">
        <v>814390</v>
      </c>
      <c r="I778">
        <v>414063</v>
      </c>
      <c r="J778">
        <v>400327</v>
      </c>
    </row>
    <row r="779" spans="1:10" x14ac:dyDescent="0.25">
      <c r="A779" s="1">
        <v>44592</v>
      </c>
      <c r="B779" t="s">
        <v>12</v>
      </c>
      <c r="C779" t="s">
        <v>15</v>
      </c>
      <c r="D779">
        <v>199441</v>
      </c>
      <c r="E779">
        <v>87103</v>
      </c>
      <c r="F779">
        <v>112338</v>
      </c>
      <c r="G779">
        <v>103221</v>
      </c>
      <c r="H779">
        <v>336917</v>
      </c>
      <c r="I779">
        <v>317770</v>
      </c>
      <c r="J779">
        <v>19147</v>
      </c>
    </row>
    <row r="780" spans="1:10" x14ac:dyDescent="0.25">
      <c r="A780" s="1">
        <v>44592</v>
      </c>
      <c r="B780" t="s">
        <v>12</v>
      </c>
      <c r="C780" t="s">
        <v>16</v>
      </c>
      <c r="D780">
        <v>136674</v>
      </c>
      <c r="E780">
        <v>79337</v>
      </c>
      <c r="F780">
        <v>57337</v>
      </c>
      <c r="G780">
        <v>46408</v>
      </c>
      <c r="H780">
        <v>540093</v>
      </c>
      <c r="I780">
        <v>413295</v>
      </c>
      <c r="J780">
        <v>126798</v>
      </c>
    </row>
    <row r="781" spans="1:10" x14ac:dyDescent="0.25">
      <c r="A781" s="1">
        <v>44592</v>
      </c>
      <c r="B781" t="s">
        <v>12</v>
      </c>
      <c r="C781" t="s">
        <v>17</v>
      </c>
      <c r="D781">
        <v>117611</v>
      </c>
      <c r="E781">
        <v>71944</v>
      </c>
      <c r="F781">
        <v>45667</v>
      </c>
      <c r="G781">
        <v>36932</v>
      </c>
      <c r="H781">
        <v>805730</v>
      </c>
      <c r="I781">
        <v>149847</v>
      </c>
      <c r="J781">
        <v>655883</v>
      </c>
    </row>
    <row r="782" spans="1:10" x14ac:dyDescent="0.25">
      <c r="A782" s="1">
        <v>44592</v>
      </c>
      <c r="B782" t="s">
        <v>13</v>
      </c>
      <c r="C782" t="s">
        <v>14</v>
      </c>
      <c r="D782">
        <v>158653</v>
      </c>
      <c r="E782">
        <v>146072</v>
      </c>
      <c r="F782">
        <v>12581</v>
      </c>
      <c r="G782">
        <v>-320</v>
      </c>
      <c r="H782">
        <v>518766</v>
      </c>
      <c r="I782">
        <v>389954</v>
      </c>
      <c r="J782">
        <v>128812</v>
      </c>
    </row>
    <row r="783" spans="1:10" x14ac:dyDescent="0.25">
      <c r="A783" s="1">
        <v>44592</v>
      </c>
      <c r="B783" t="s">
        <v>13</v>
      </c>
      <c r="C783" t="s">
        <v>15</v>
      </c>
      <c r="D783">
        <v>177842</v>
      </c>
      <c r="E783">
        <v>70503</v>
      </c>
      <c r="F783">
        <v>107339</v>
      </c>
      <c r="G783">
        <v>99498</v>
      </c>
      <c r="H783">
        <v>630192</v>
      </c>
      <c r="I783">
        <v>616637</v>
      </c>
      <c r="J783">
        <v>13555</v>
      </c>
    </row>
    <row r="784" spans="1:10" x14ac:dyDescent="0.25">
      <c r="A784" s="1">
        <v>44592</v>
      </c>
      <c r="B784" t="s">
        <v>13</v>
      </c>
      <c r="C784" t="s">
        <v>16</v>
      </c>
      <c r="D784">
        <v>110886</v>
      </c>
      <c r="E784">
        <v>72866</v>
      </c>
      <c r="F784">
        <v>38020</v>
      </c>
      <c r="G784">
        <v>31932</v>
      </c>
      <c r="H784">
        <v>888152</v>
      </c>
      <c r="I784">
        <v>502980</v>
      </c>
      <c r="J784">
        <v>385172</v>
      </c>
    </row>
    <row r="785" spans="1:10" x14ac:dyDescent="0.25">
      <c r="A785" s="1">
        <v>44592</v>
      </c>
      <c r="B785" t="s">
        <v>13</v>
      </c>
      <c r="C785" t="s">
        <v>17</v>
      </c>
      <c r="D785">
        <v>186156</v>
      </c>
      <c r="E785">
        <v>102727</v>
      </c>
      <c r="F785">
        <v>83429</v>
      </c>
      <c r="G785">
        <v>65494</v>
      </c>
      <c r="H785">
        <v>732356</v>
      </c>
      <c r="I785">
        <v>741211</v>
      </c>
      <c r="J785">
        <v>-8855</v>
      </c>
    </row>
    <row r="786" spans="1:10" x14ac:dyDescent="0.25">
      <c r="A786" s="1">
        <v>44620</v>
      </c>
      <c r="B786" t="s">
        <v>10</v>
      </c>
      <c r="C786" t="s">
        <v>14</v>
      </c>
      <c r="D786">
        <v>107295</v>
      </c>
      <c r="E786">
        <v>101160</v>
      </c>
      <c r="F786">
        <v>6135</v>
      </c>
      <c r="G786">
        <v>-10255</v>
      </c>
      <c r="H786">
        <v>831040</v>
      </c>
      <c r="I786">
        <v>456898</v>
      </c>
      <c r="J786">
        <v>374142</v>
      </c>
    </row>
    <row r="787" spans="1:10" x14ac:dyDescent="0.25">
      <c r="A787" s="1">
        <v>44620</v>
      </c>
      <c r="B787" t="s">
        <v>10</v>
      </c>
      <c r="C787" t="s">
        <v>15</v>
      </c>
      <c r="D787">
        <v>175969</v>
      </c>
      <c r="E787">
        <v>75038</v>
      </c>
      <c r="F787">
        <v>100931</v>
      </c>
      <c r="G787">
        <v>92756</v>
      </c>
      <c r="H787">
        <v>949078</v>
      </c>
      <c r="I787">
        <v>439208</v>
      </c>
      <c r="J787">
        <v>509870</v>
      </c>
    </row>
    <row r="788" spans="1:10" x14ac:dyDescent="0.25">
      <c r="A788" s="1">
        <v>44620</v>
      </c>
      <c r="B788" t="s">
        <v>10</v>
      </c>
      <c r="C788" t="s">
        <v>16</v>
      </c>
      <c r="D788">
        <v>121281</v>
      </c>
      <c r="E788">
        <v>114189</v>
      </c>
      <c r="F788">
        <v>7092</v>
      </c>
      <c r="G788">
        <v>-5335</v>
      </c>
      <c r="H788">
        <v>732893</v>
      </c>
      <c r="I788">
        <v>462462</v>
      </c>
      <c r="J788">
        <v>270431</v>
      </c>
    </row>
    <row r="789" spans="1:10" x14ac:dyDescent="0.25">
      <c r="A789" s="1">
        <v>44620</v>
      </c>
      <c r="B789" t="s">
        <v>10</v>
      </c>
      <c r="C789" t="s">
        <v>17</v>
      </c>
      <c r="D789">
        <v>101381</v>
      </c>
      <c r="E789">
        <v>126634</v>
      </c>
      <c r="F789">
        <v>-25253</v>
      </c>
      <c r="G789">
        <v>-33679</v>
      </c>
      <c r="H789">
        <v>449415</v>
      </c>
      <c r="I789">
        <v>779682</v>
      </c>
      <c r="J789">
        <v>-330267</v>
      </c>
    </row>
    <row r="790" spans="1:10" x14ac:dyDescent="0.25">
      <c r="A790" s="1">
        <v>44620</v>
      </c>
      <c r="B790" t="s">
        <v>11</v>
      </c>
      <c r="C790" t="s">
        <v>14</v>
      </c>
      <c r="D790">
        <v>141869</v>
      </c>
      <c r="E790">
        <v>92955</v>
      </c>
      <c r="F790">
        <v>48914</v>
      </c>
      <c r="G790">
        <v>31678</v>
      </c>
      <c r="H790">
        <v>965612</v>
      </c>
      <c r="I790">
        <v>110207</v>
      </c>
      <c r="J790">
        <v>855405</v>
      </c>
    </row>
    <row r="791" spans="1:10" x14ac:dyDescent="0.25">
      <c r="A791" s="1">
        <v>44620</v>
      </c>
      <c r="B791" t="s">
        <v>11</v>
      </c>
      <c r="C791" t="s">
        <v>15</v>
      </c>
      <c r="D791">
        <v>187329</v>
      </c>
      <c r="E791">
        <v>127628</v>
      </c>
      <c r="F791">
        <v>59701</v>
      </c>
      <c r="G791">
        <v>42865</v>
      </c>
      <c r="H791">
        <v>677266</v>
      </c>
      <c r="I791">
        <v>596762</v>
      </c>
      <c r="J791">
        <v>80504</v>
      </c>
    </row>
    <row r="792" spans="1:10" x14ac:dyDescent="0.25">
      <c r="A792" s="1">
        <v>44620</v>
      </c>
      <c r="B792" t="s">
        <v>11</v>
      </c>
      <c r="C792" t="s">
        <v>16</v>
      </c>
      <c r="D792">
        <v>174085</v>
      </c>
      <c r="E792">
        <v>82031</v>
      </c>
      <c r="F792">
        <v>92054</v>
      </c>
      <c r="G792">
        <v>81869</v>
      </c>
      <c r="H792">
        <v>795600</v>
      </c>
      <c r="I792">
        <v>684054</v>
      </c>
      <c r="J792">
        <v>111546</v>
      </c>
    </row>
    <row r="793" spans="1:10" x14ac:dyDescent="0.25">
      <c r="A793" s="1">
        <v>44620</v>
      </c>
      <c r="B793" t="s">
        <v>11</v>
      </c>
      <c r="C793" t="s">
        <v>17</v>
      </c>
      <c r="D793">
        <v>112449</v>
      </c>
      <c r="E793">
        <v>149833</v>
      </c>
      <c r="F793">
        <v>-37384</v>
      </c>
      <c r="G793">
        <v>-49931</v>
      </c>
      <c r="H793">
        <v>437199</v>
      </c>
      <c r="I793">
        <v>735329</v>
      </c>
      <c r="J793">
        <v>-298130</v>
      </c>
    </row>
    <row r="794" spans="1:10" x14ac:dyDescent="0.25">
      <c r="A794" s="1">
        <v>44620</v>
      </c>
      <c r="B794" t="s">
        <v>12</v>
      </c>
      <c r="C794" t="s">
        <v>14</v>
      </c>
      <c r="D794">
        <v>146092</v>
      </c>
      <c r="E794">
        <v>123671</v>
      </c>
      <c r="F794">
        <v>22421</v>
      </c>
      <c r="G794">
        <v>7071</v>
      </c>
      <c r="H794">
        <v>951518</v>
      </c>
      <c r="I794">
        <v>613313</v>
      </c>
      <c r="J794">
        <v>338205</v>
      </c>
    </row>
    <row r="795" spans="1:10" x14ac:dyDescent="0.25">
      <c r="A795" s="1">
        <v>44620</v>
      </c>
      <c r="B795" t="s">
        <v>12</v>
      </c>
      <c r="C795" t="s">
        <v>15</v>
      </c>
      <c r="D795">
        <v>168487</v>
      </c>
      <c r="E795">
        <v>77622</v>
      </c>
      <c r="F795">
        <v>90865</v>
      </c>
      <c r="G795">
        <v>76700</v>
      </c>
      <c r="H795">
        <v>515261</v>
      </c>
      <c r="I795">
        <v>335062</v>
      </c>
      <c r="J795">
        <v>180199</v>
      </c>
    </row>
    <row r="796" spans="1:10" x14ac:dyDescent="0.25">
      <c r="A796" s="1">
        <v>44620</v>
      </c>
      <c r="B796" t="s">
        <v>12</v>
      </c>
      <c r="C796" t="s">
        <v>16</v>
      </c>
      <c r="D796">
        <v>158394</v>
      </c>
      <c r="E796">
        <v>83782</v>
      </c>
      <c r="F796">
        <v>74612</v>
      </c>
      <c r="G796">
        <v>68024</v>
      </c>
      <c r="H796">
        <v>854224</v>
      </c>
      <c r="I796">
        <v>508808</v>
      </c>
      <c r="J796">
        <v>345416</v>
      </c>
    </row>
    <row r="797" spans="1:10" x14ac:dyDescent="0.25">
      <c r="A797" s="1">
        <v>44620</v>
      </c>
      <c r="B797" t="s">
        <v>12</v>
      </c>
      <c r="C797" t="s">
        <v>17</v>
      </c>
      <c r="D797">
        <v>122173</v>
      </c>
      <c r="E797">
        <v>93204</v>
      </c>
      <c r="F797">
        <v>28969</v>
      </c>
      <c r="G797">
        <v>21141</v>
      </c>
      <c r="H797">
        <v>322258</v>
      </c>
      <c r="I797">
        <v>735956</v>
      </c>
      <c r="J797">
        <v>-413698</v>
      </c>
    </row>
    <row r="798" spans="1:10" x14ac:dyDescent="0.25">
      <c r="A798" s="1">
        <v>44620</v>
      </c>
      <c r="B798" t="s">
        <v>13</v>
      </c>
      <c r="C798" t="s">
        <v>14</v>
      </c>
      <c r="D798">
        <v>161202</v>
      </c>
      <c r="E798">
        <v>149400</v>
      </c>
      <c r="F798">
        <v>11802</v>
      </c>
      <c r="G798">
        <v>-2694</v>
      </c>
      <c r="H798">
        <v>706581</v>
      </c>
      <c r="I798">
        <v>523966</v>
      </c>
      <c r="J798">
        <v>182615</v>
      </c>
    </row>
    <row r="799" spans="1:10" x14ac:dyDescent="0.25">
      <c r="A799" s="1">
        <v>44620</v>
      </c>
      <c r="B799" t="s">
        <v>13</v>
      </c>
      <c r="C799" t="s">
        <v>15</v>
      </c>
      <c r="D799">
        <v>176112</v>
      </c>
      <c r="E799">
        <v>76566</v>
      </c>
      <c r="F799">
        <v>99546</v>
      </c>
      <c r="G799">
        <v>87356</v>
      </c>
      <c r="H799">
        <v>762621</v>
      </c>
      <c r="I799">
        <v>484073</v>
      </c>
      <c r="J799">
        <v>278548</v>
      </c>
    </row>
    <row r="800" spans="1:10" x14ac:dyDescent="0.25">
      <c r="A800" s="1">
        <v>44620</v>
      </c>
      <c r="B800" t="s">
        <v>13</v>
      </c>
      <c r="C800" t="s">
        <v>16</v>
      </c>
      <c r="D800">
        <v>180905</v>
      </c>
      <c r="E800">
        <v>149571</v>
      </c>
      <c r="F800">
        <v>31334</v>
      </c>
      <c r="G800">
        <v>20759</v>
      </c>
      <c r="H800">
        <v>749523</v>
      </c>
      <c r="I800">
        <v>100159</v>
      </c>
      <c r="J800">
        <v>649364</v>
      </c>
    </row>
    <row r="801" spans="1:10" x14ac:dyDescent="0.25">
      <c r="A801" s="1">
        <v>44620</v>
      </c>
      <c r="B801" t="s">
        <v>13</v>
      </c>
      <c r="C801" t="s">
        <v>17</v>
      </c>
      <c r="D801">
        <v>112145</v>
      </c>
      <c r="E801">
        <v>140909</v>
      </c>
      <c r="F801">
        <v>-28764</v>
      </c>
      <c r="G801">
        <v>-40319</v>
      </c>
      <c r="H801">
        <v>347309</v>
      </c>
      <c r="I801">
        <v>207507</v>
      </c>
      <c r="J801">
        <v>139802</v>
      </c>
    </row>
    <row r="802" spans="1:10" x14ac:dyDescent="0.25">
      <c r="A802" s="1">
        <v>44651</v>
      </c>
      <c r="B802" t="s">
        <v>10</v>
      </c>
      <c r="C802" t="s">
        <v>14</v>
      </c>
      <c r="D802">
        <v>108244</v>
      </c>
      <c r="E802">
        <v>74743</v>
      </c>
      <c r="F802">
        <v>33501</v>
      </c>
      <c r="G802">
        <v>15168</v>
      </c>
      <c r="H802">
        <v>442717</v>
      </c>
      <c r="I802">
        <v>745822</v>
      </c>
      <c r="J802">
        <v>-303105</v>
      </c>
    </row>
    <row r="803" spans="1:10" x14ac:dyDescent="0.25">
      <c r="A803" s="1">
        <v>44651</v>
      </c>
      <c r="B803" t="s">
        <v>10</v>
      </c>
      <c r="C803" t="s">
        <v>15</v>
      </c>
      <c r="D803">
        <v>184227</v>
      </c>
      <c r="E803">
        <v>159532</v>
      </c>
      <c r="F803">
        <v>24695</v>
      </c>
      <c r="G803">
        <v>12469</v>
      </c>
      <c r="H803">
        <v>926481</v>
      </c>
      <c r="I803">
        <v>436907</v>
      </c>
      <c r="J803">
        <v>489574</v>
      </c>
    </row>
    <row r="804" spans="1:10" x14ac:dyDescent="0.25">
      <c r="A804" s="1">
        <v>44651</v>
      </c>
      <c r="B804" t="s">
        <v>10</v>
      </c>
      <c r="C804" t="s">
        <v>16</v>
      </c>
      <c r="D804">
        <v>193814</v>
      </c>
      <c r="E804">
        <v>72237</v>
      </c>
      <c r="F804">
        <v>121577</v>
      </c>
      <c r="G804">
        <v>111632</v>
      </c>
      <c r="H804">
        <v>404535</v>
      </c>
      <c r="I804">
        <v>279838</v>
      </c>
      <c r="J804">
        <v>124697</v>
      </c>
    </row>
    <row r="805" spans="1:10" x14ac:dyDescent="0.25">
      <c r="A805" s="1">
        <v>44651</v>
      </c>
      <c r="B805" t="s">
        <v>10</v>
      </c>
      <c r="C805" t="s">
        <v>17</v>
      </c>
      <c r="D805">
        <v>146154</v>
      </c>
      <c r="E805">
        <v>67016</v>
      </c>
      <c r="F805">
        <v>79138</v>
      </c>
      <c r="G805">
        <v>60111</v>
      </c>
      <c r="H805">
        <v>641904</v>
      </c>
      <c r="I805">
        <v>678526</v>
      </c>
      <c r="J805">
        <v>-36622</v>
      </c>
    </row>
    <row r="806" spans="1:10" x14ac:dyDescent="0.25">
      <c r="A806" s="1">
        <v>44651</v>
      </c>
      <c r="B806" t="s">
        <v>11</v>
      </c>
      <c r="C806" t="s">
        <v>14</v>
      </c>
      <c r="D806">
        <v>158608</v>
      </c>
      <c r="E806">
        <v>149081</v>
      </c>
      <c r="F806">
        <v>9527</v>
      </c>
      <c r="G806">
        <v>2643</v>
      </c>
      <c r="H806">
        <v>399775</v>
      </c>
      <c r="I806">
        <v>162551</v>
      </c>
      <c r="J806">
        <v>237224</v>
      </c>
    </row>
    <row r="807" spans="1:10" x14ac:dyDescent="0.25">
      <c r="A807" s="1">
        <v>44651</v>
      </c>
      <c r="B807" t="s">
        <v>11</v>
      </c>
      <c r="C807" t="s">
        <v>15</v>
      </c>
      <c r="D807">
        <v>158161</v>
      </c>
      <c r="E807">
        <v>139623</v>
      </c>
      <c r="F807">
        <v>18538</v>
      </c>
      <c r="G807">
        <v>7482</v>
      </c>
      <c r="H807">
        <v>366277</v>
      </c>
      <c r="I807">
        <v>180811</v>
      </c>
      <c r="J807">
        <v>185466</v>
      </c>
    </row>
    <row r="808" spans="1:10" x14ac:dyDescent="0.25">
      <c r="A808" s="1">
        <v>44651</v>
      </c>
      <c r="B808" t="s">
        <v>11</v>
      </c>
      <c r="C808" t="s">
        <v>16</v>
      </c>
      <c r="D808">
        <v>155103</v>
      </c>
      <c r="E808">
        <v>130812</v>
      </c>
      <c r="F808">
        <v>24291</v>
      </c>
      <c r="G808">
        <v>10432</v>
      </c>
      <c r="H808">
        <v>568266</v>
      </c>
      <c r="I808">
        <v>334104</v>
      </c>
      <c r="J808">
        <v>234162</v>
      </c>
    </row>
    <row r="809" spans="1:10" x14ac:dyDescent="0.25">
      <c r="A809" s="1">
        <v>44651</v>
      </c>
      <c r="B809" t="s">
        <v>11</v>
      </c>
      <c r="C809" t="s">
        <v>17</v>
      </c>
      <c r="D809">
        <v>119008</v>
      </c>
      <c r="E809">
        <v>131274</v>
      </c>
      <c r="F809">
        <v>-12266</v>
      </c>
      <c r="G809">
        <v>-21498</v>
      </c>
      <c r="H809">
        <v>984282</v>
      </c>
      <c r="I809">
        <v>499009</v>
      </c>
      <c r="J809">
        <v>485273</v>
      </c>
    </row>
    <row r="810" spans="1:10" x14ac:dyDescent="0.25">
      <c r="A810" s="1">
        <v>44651</v>
      </c>
      <c r="B810" t="s">
        <v>12</v>
      </c>
      <c r="C810" t="s">
        <v>14</v>
      </c>
      <c r="D810">
        <v>105571</v>
      </c>
      <c r="E810">
        <v>156867</v>
      </c>
      <c r="F810">
        <v>-51296</v>
      </c>
      <c r="G810">
        <v>-65306</v>
      </c>
      <c r="H810">
        <v>291218</v>
      </c>
      <c r="I810">
        <v>233296</v>
      </c>
      <c r="J810">
        <v>57922</v>
      </c>
    </row>
    <row r="811" spans="1:10" x14ac:dyDescent="0.25">
      <c r="A811" s="1">
        <v>44651</v>
      </c>
      <c r="B811" t="s">
        <v>12</v>
      </c>
      <c r="C811" t="s">
        <v>15</v>
      </c>
      <c r="D811">
        <v>148695</v>
      </c>
      <c r="E811">
        <v>92441</v>
      </c>
      <c r="F811">
        <v>56254</v>
      </c>
      <c r="G811">
        <v>42592</v>
      </c>
      <c r="H811">
        <v>894489</v>
      </c>
      <c r="I811">
        <v>716410</v>
      </c>
      <c r="J811">
        <v>178079</v>
      </c>
    </row>
    <row r="812" spans="1:10" x14ac:dyDescent="0.25">
      <c r="A812" s="1">
        <v>44651</v>
      </c>
      <c r="B812" t="s">
        <v>12</v>
      </c>
      <c r="C812" t="s">
        <v>16</v>
      </c>
      <c r="D812">
        <v>144760</v>
      </c>
      <c r="E812">
        <v>83478</v>
      </c>
      <c r="F812">
        <v>61282</v>
      </c>
      <c r="G812">
        <v>43089</v>
      </c>
      <c r="H812">
        <v>547860</v>
      </c>
      <c r="I812">
        <v>767540</v>
      </c>
      <c r="J812">
        <v>-219680</v>
      </c>
    </row>
    <row r="813" spans="1:10" x14ac:dyDescent="0.25">
      <c r="A813" s="1">
        <v>44651</v>
      </c>
      <c r="B813" t="s">
        <v>12</v>
      </c>
      <c r="C813" t="s">
        <v>17</v>
      </c>
      <c r="D813">
        <v>198538</v>
      </c>
      <c r="E813">
        <v>75372</v>
      </c>
      <c r="F813">
        <v>123166</v>
      </c>
      <c r="G813">
        <v>104754</v>
      </c>
      <c r="H813">
        <v>711511</v>
      </c>
      <c r="I813">
        <v>321035</v>
      </c>
      <c r="J813">
        <v>390476</v>
      </c>
    </row>
    <row r="814" spans="1:10" x14ac:dyDescent="0.25">
      <c r="A814" s="1">
        <v>44651</v>
      </c>
      <c r="B814" t="s">
        <v>13</v>
      </c>
      <c r="C814" t="s">
        <v>14</v>
      </c>
      <c r="D814">
        <v>198826</v>
      </c>
      <c r="E814">
        <v>153635</v>
      </c>
      <c r="F814">
        <v>45191</v>
      </c>
      <c r="G814">
        <v>27473</v>
      </c>
      <c r="H814">
        <v>778328</v>
      </c>
      <c r="I814">
        <v>702644</v>
      </c>
      <c r="J814">
        <v>75684</v>
      </c>
    </row>
    <row r="815" spans="1:10" x14ac:dyDescent="0.25">
      <c r="A815" s="1">
        <v>44651</v>
      </c>
      <c r="B815" t="s">
        <v>13</v>
      </c>
      <c r="C815" t="s">
        <v>15</v>
      </c>
      <c r="D815">
        <v>116211</v>
      </c>
      <c r="E815">
        <v>65842</v>
      </c>
      <c r="F815">
        <v>50369</v>
      </c>
      <c r="G815">
        <v>31406</v>
      </c>
      <c r="H815">
        <v>587881</v>
      </c>
      <c r="I815">
        <v>408112</v>
      </c>
      <c r="J815">
        <v>179769</v>
      </c>
    </row>
    <row r="816" spans="1:10" x14ac:dyDescent="0.25">
      <c r="A816" s="1">
        <v>44651</v>
      </c>
      <c r="B816" t="s">
        <v>13</v>
      </c>
      <c r="C816" t="s">
        <v>16</v>
      </c>
      <c r="D816">
        <v>117508</v>
      </c>
      <c r="E816">
        <v>82005</v>
      </c>
      <c r="F816">
        <v>35503</v>
      </c>
      <c r="G816">
        <v>25080</v>
      </c>
      <c r="H816">
        <v>673958</v>
      </c>
      <c r="I816">
        <v>774331</v>
      </c>
      <c r="J816">
        <v>-100373</v>
      </c>
    </row>
    <row r="817" spans="1:10" x14ac:dyDescent="0.25">
      <c r="A817" s="1">
        <v>44651</v>
      </c>
      <c r="B817" t="s">
        <v>13</v>
      </c>
      <c r="C817" t="s">
        <v>17</v>
      </c>
      <c r="D817">
        <v>125599</v>
      </c>
      <c r="E817">
        <v>147592</v>
      </c>
      <c r="F817">
        <v>-21993</v>
      </c>
      <c r="G817">
        <v>-28371</v>
      </c>
      <c r="H817">
        <v>973422</v>
      </c>
      <c r="I817">
        <v>691343</v>
      </c>
      <c r="J817">
        <v>282079</v>
      </c>
    </row>
    <row r="818" spans="1:10" x14ac:dyDescent="0.25">
      <c r="A818" s="1">
        <v>44681</v>
      </c>
      <c r="B818" t="s">
        <v>10</v>
      </c>
      <c r="C818" t="s">
        <v>14</v>
      </c>
      <c r="D818">
        <v>187697</v>
      </c>
      <c r="E818">
        <v>65355</v>
      </c>
      <c r="F818">
        <v>122342</v>
      </c>
      <c r="G818">
        <v>112374</v>
      </c>
      <c r="H818">
        <v>667835</v>
      </c>
      <c r="I818">
        <v>400486</v>
      </c>
      <c r="J818">
        <v>267349</v>
      </c>
    </row>
    <row r="819" spans="1:10" x14ac:dyDescent="0.25">
      <c r="A819" s="1">
        <v>44681</v>
      </c>
      <c r="B819" t="s">
        <v>10</v>
      </c>
      <c r="C819" t="s">
        <v>15</v>
      </c>
      <c r="D819">
        <v>185992</v>
      </c>
      <c r="E819">
        <v>138860</v>
      </c>
      <c r="F819">
        <v>47132</v>
      </c>
      <c r="G819">
        <v>39875</v>
      </c>
      <c r="H819">
        <v>489508</v>
      </c>
      <c r="I819">
        <v>780332</v>
      </c>
      <c r="J819">
        <v>-290824</v>
      </c>
    </row>
    <row r="820" spans="1:10" x14ac:dyDescent="0.25">
      <c r="A820" s="1">
        <v>44681</v>
      </c>
      <c r="B820" t="s">
        <v>10</v>
      </c>
      <c r="C820" t="s">
        <v>16</v>
      </c>
      <c r="D820">
        <v>126654</v>
      </c>
      <c r="E820">
        <v>140769</v>
      </c>
      <c r="F820">
        <v>-14115</v>
      </c>
      <c r="G820">
        <v>-32051</v>
      </c>
      <c r="H820">
        <v>745096</v>
      </c>
      <c r="I820">
        <v>676677</v>
      </c>
      <c r="J820">
        <v>68419</v>
      </c>
    </row>
    <row r="821" spans="1:10" x14ac:dyDescent="0.25">
      <c r="A821" s="1">
        <v>44681</v>
      </c>
      <c r="B821" t="s">
        <v>10</v>
      </c>
      <c r="C821" t="s">
        <v>17</v>
      </c>
      <c r="D821">
        <v>195690</v>
      </c>
      <c r="E821">
        <v>94773</v>
      </c>
      <c r="F821">
        <v>100917</v>
      </c>
      <c r="G821">
        <v>93901</v>
      </c>
      <c r="H821">
        <v>620963</v>
      </c>
      <c r="I821">
        <v>438540</v>
      </c>
      <c r="J821">
        <v>182423</v>
      </c>
    </row>
    <row r="822" spans="1:10" x14ac:dyDescent="0.25">
      <c r="A822" s="1">
        <v>44681</v>
      </c>
      <c r="B822" t="s">
        <v>11</v>
      </c>
      <c r="C822" t="s">
        <v>14</v>
      </c>
      <c r="D822">
        <v>183692</v>
      </c>
      <c r="E822">
        <v>117505</v>
      </c>
      <c r="F822">
        <v>66187</v>
      </c>
      <c r="G822">
        <v>57211</v>
      </c>
      <c r="H822">
        <v>742423</v>
      </c>
      <c r="I822">
        <v>715175</v>
      </c>
      <c r="J822">
        <v>27248</v>
      </c>
    </row>
    <row r="823" spans="1:10" x14ac:dyDescent="0.25">
      <c r="A823" s="1">
        <v>44681</v>
      </c>
      <c r="B823" t="s">
        <v>11</v>
      </c>
      <c r="C823" t="s">
        <v>15</v>
      </c>
      <c r="D823">
        <v>196035</v>
      </c>
      <c r="E823">
        <v>107377</v>
      </c>
      <c r="F823">
        <v>88658</v>
      </c>
      <c r="G823">
        <v>76488</v>
      </c>
      <c r="H823">
        <v>445739</v>
      </c>
      <c r="I823">
        <v>578356</v>
      </c>
      <c r="J823">
        <v>-132617</v>
      </c>
    </row>
    <row r="824" spans="1:10" x14ac:dyDescent="0.25">
      <c r="A824" s="1">
        <v>44681</v>
      </c>
      <c r="B824" t="s">
        <v>11</v>
      </c>
      <c r="C824" t="s">
        <v>16</v>
      </c>
      <c r="D824">
        <v>116923</v>
      </c>
      <c r="E824">
        <v>107591</v>
      </c>
      <c r="F824">
        <v>9332</v>
      </c>
      <c r="G824">
        <v>-8777</v>
      </c>
      <c r="H824">
        <v>516480</v>
      </c>
      <c r="I824">
        <v>436227</v>
      </c>
      <c r="J824">
        <v>80253</v>
      </c>
    </row>
    <row r="825" spans="1:10" x14ac:dyDescent="0.25">
      <c r="A825" s="1">
        <v>44681</v>
      </c>
      <c r="B825" t="s">
        <v>11</v>
      </c>
      <c r="C825" t="s">
        <v>17</v>
      </c>
      <c r="D825">
        <v>160948</v>
      </c>
      <c r="E825">
        <v>93002</v>
      </c>
      <c r="F825">
        <v>67946</v>
      </c>
      <c r="G825">
        <v>48384</v>
      </c>
      <c r="H825">
        <v>709452</v>
      </c>
      <c r="I825">
        <v>388816</v>
      </c>
      <c r="J825">
        <v>320636</v>
      </c>
    </row>
    <row r="826" spans="1:10" x14ac:dyDescent="0.25">
      <c r="A826" s="1">
        <v>44681</v>
      </c>
      <c r="B826" t="s">
        <v>12</v>
      </c>
      <c r="C826" t="s">
        <v>14</v>
      </c>
      <c r="D826">
        <v>104213</v>
      </c>
      <c r="E826">
        <v>70293</v>
      </c>
      <c r="F826">
        <v>33920</v>
      </c>
      <c r="G826">
        <v>27247</v>
      </c>
      <c r="H826">
        <v>649076</v>
      </c>
      <c r="I826">
        <v>162507</v>
      </c>
      <c r="J826">
        <v>486569</v>
      </c>
    </row>
    <row r="827" spans="1:10" x14ac:dyDescent="0.25">
      <c r="A827" s="1">
        <v>44681</v>
      </c>
      <c r="B827" t="s">
        <v>12</v>
      </c>
      <c r="C827" t="s">
        <v>15</v>
      </c>
      <c r="D827">
        <v>157134</v>
      </c>
      <c r="E827">
        <v>62100</v>
      </c>
      <c r="F827">
        <v>95034</v>
      </c>
      <c r="G827">
        <v>78185</v>
      </c>
      <c r="H827">
        <v>393069</v>
      </c>
      <c r="I827">
        <v>660897</v>
      </c>
      <c r="J827">
        <v>-267828</v>
      </c>
    </row>
    <row r="828" spans="1:10" x14ac:dyDescent="0.25">
      <c r="A828" s="1">
        <v>44681</v>
      </c>
      <c r="B828" t="s">
        <v>12</v>
      </c>
      <c r="C828" t="s">
        <v>16</v>
      </c>
      <c r="D828">
        <v>142965</v>
      </c>
      <c r="E828">
        <v>68016</v>
      </c>
      <c r="F828">
        <v>74949</v>
      </c>
      <c r="G828">
        <v>62938</v>
      </c>
      <c r="H828">
        <v>696013</v>
      </c>
      <c r="I828">
        <v>394025</v>
      </c>
      <c r="J828">
        <v>301988</v>
      </c>
    </row>
    <row r="829" spans="1:10" x14ac:dyDescent="0.25">
      <c r="A829" s="1">
        <v>44681</v>
      </c>
      <c r="B829" t="s">
        <v>12</v>
      </c>
      <c r="C829" t="s">
        <v>17</v>
      </c>
      <c r="D829">
        <v>182594</v>
      </c>
      <c r="E829">
        <v>84472</v>
      </c>
      <c r="F829">
        <v>98122</v>
      </c>
      <c r="G829">
        <v>84544</v>
      </c>
      <c r="H829">
        <v>907173</v>
      </c>
      <c r="I829">
        <v>357803</v>
      </c>
      <c r="J829">
        <v>549370</v>
      </c>
    </row>
    <row r="830" spans="1:10" x14ac:dyDescent="0.25">
      <c r="A830" s="1">
        <v>44681</v>
      </c>
      <c r="B830" t="s">
        <v>13</v>
      </c>
      <c r="C830" t="s">
        <v>14</v>
      </c>
      <c r="D830">
        <v>136021</v>
      </c>
      <c r="E830">
        <v>114131</v>
      </c>
      <c r="F830">
        <v>21890</v>
      </c>
      <c r="G830">
        <v>9187</v>
      </c>
      <c r="H830">
        <v>212828</v>
      </c>
      <c r="I830">
        <v>616835</v>
      </c>
      <c r="J830">
        <v>-404007</v>
      </c>
    </row>
    <row r="831" spans="1:10" x14ac:dyDescent="0.25">
      <c r="A831" s="1">
        <v>44681</v>
      </c>
      <c r="B831" t="s">
        <v>13</v>
      </c>
      <c r="C831" t="s">
        <v>15</v>
      </c>
      <c r="D831">
        <v>101401</v>
      </c>
      <c r="E831">
        <v>145179</v>
      </c>
      <c r="F831">
        <v>-43778</v>
      </c>
      <c r="G831">
        <v>-59247</v>
      </c>
      <c r="H831">
        <v>638080</v>
      </c>
      <c r="I831">
        <v>513523</v>
      </c>
      <c r="J831">
        <v>124557</v>
      </c>
    </row>
    <row r="832" spans="1:10" x14ac:dyDescent="0.25">
      <c r="A832" s="1">
        <v>44681</v>
      </c>
      <c r="B832" t="s">
        <v>13</v>
      </c>
      <c r="C832" t="s">
        <v>16</v>
      </c>
      <c r="D832">
        <v>119611</v>
      </c>
      <c r="E832">
        <v>103791</v>
      </c>
      <c r="F832">
        <v>15820</v>
      </c>
      <c r="G832">
        <v>-1130</v>
      </c>
      <c r="H832">
        <v>538384</v>
      </c>
      <c r="I832">
        <v>339719</v>
      </c>
      <c r="J832">
        <v>198665</v>
      </c>
    </row>
    <row r="833" spans="1:10" x14ac:dyDescent="0.25">
      <c r="A833" s="1">
        <v>44681</v>
      </c>
      <c r="B833" t="s">
        <v>13</v>
      </c>
      <c r="C833" t="s">
        <v>17</v>
      </c>
      <c r="D833">
        <v>177403</v>
      </c>
      <c r="E833">
        <v>62745</v>
      </c>
      <c r="F833">
        <v>114658</v>
      </c>
      <c r="G833">
        <v>103567</v>
      </c>
      <c r="H833">
        <v>466010</v>
      </c>
      <c r="I833">
        <v>787605</v>
      </c>
      <c r="J833">
        <v>-321595</v>
      </c>
    </row>
    <row r="834" spans="1:10" x14ac:dyDescent="0.25">
      <c r="A834" s="1">
        <v>44712</v>
      </c>
      <c r="B834" t="s">
        <v>10</v>
      </c>
      <c r="C834" t="s">
        <v>14</v>
      </c>
      <c r="D834">
        <v>144724</v>
      </c>
      <c r="E834">
        <v>131354</v>
      </c>
      <c r="F834">
        <v>13370</v>
      </c>
      <c r="G834">
        <v>6148</v>
      </c>
      <c r="H834">
        <v>314397</v>
      </c>
      <c r="I834">
        <v>348552</v>
      </c>
      <c r="J834">
        <v>-34155</v>
      </c>
    </row>
    <row r="835" spans="1:10" x14ac:dyDescent="0.25">
      <c r="A835" s="1">
        <v>44712</v>
      </c>
      <c r="B835" t="s">
        <v>10</v>
      </c>
      <c r="C835" t="s">
        <v>15</v>
      </c>
      <c r="D835">
        <v>130116</v>
      </c>
      <c r="E835">
        <v>141029</v>
      </c>
      <c r="F835">
        <v>-10913</v>
      </c>
      <c r="G835">
        <v>-27567</v>
      </c>
      <c r="H835">
        <v>492575</v>
      </c>
      <c r="I835">
        <v>511124</v>
      </c>
      <c r="J835">
        <v>-18549</v>
      </c>
    </row>
    <row r="836" spans="1:10" x14ac:dyDescent="0.25">
      <c r="A836" s="1">
        <v>44712</v>
      </c>
      <c r="B836" t="s">
        <v>10</v>
      </c>
      <c r="C836" t="s">
        <v>16</v>
      </c>
      <c r="D836">
        <v>129336</v>
      </c>
      <c r="E836">
        <v>100992</v>
      </c>
      <c r="F836">
        <v>28344</v>
      </c>
      <c r="G836">
        <v>17146</v>
      </c>
      <c r="H836">
        <v>793849</v>
      </c>
      <c r="I836">
        <v>610470</v>
      </c>
      <c r="J836">
        <v>183379</v>
      </c>
    </row>
    <row r="837" spans="1:10" x14ac:dyDescent="0.25">
      <c r="A837" s="1">
        <v>44712</v>
      </c>
      <c r="B837" t="s">
        <v>10</v>
      </c>
      <c r="C837" t="s">
        <v>17</v>
      </c>
      <c r="D837">
        <v>151955</v>
      </c>
      <c r="E837">
        <v>121240</v>
      </c>
      <c r="F837">
        <v>30715</v>
      </c>
      <c r="G837">
        <v>22006</v>
      </c>
      <c r="H837">
        <v>599371</v>
      </c>
      <c r="I837">
        <v>670895</v>
      </c>
      <c r="J837">
        <v>-71524</v>
      </c>
    </row>
    <row r="838" spans="1:10" x14ac:dyDescent="0.25">
      <c r="A838" s="1">
        <v>44712</v>
      </c>
      <c r="B838" t="s">
        <v>11</v>
      </c>
      <c r="C838" t="s">
        <v>14</v>
      </c>
      <c r="D838">
        <v>133487</v>
      </c>
      <c r="E838">
        <v>115668</v>
      </c>
      <c r="F838">
        <v>17819</v>
      </c>
      <c r="G838">
        <v>8240</v>
      </c>
      <c r="H838">
        <v>381196</v>
      </c>
      <c r="I838">
        <v>415014</v>
      </c>
      <c r="J838">
        <v>-33818</v>
      </c>
    </row>
    <row r="839" spans="1:10" x14ac:dyDescent="0.25">
      <c r="A839" s="1">
        <v>44712</v>
      </c>
      <c r="B839" t="s">
        <v>11</v>
      </c>
      <c r="C839" t="s">
        <v>15</v>
      </c>
      <c r="D839">
        <v>156547</v>
      </c>
      <c r="E839">
        <v>124110</v>
      </c>
      <c r="F839">
        <v>32437</v>
      </c>
      <c r="G839">
        <v>23035</v>
      </c>
      <c r="H839">
        <v>876296</v>
      </c>
      <c r="I839">
        <v>479039</v>
      </c>
      <c r="J839">
        <v>397257</v>
      </c>
    </row>
    <row r="840" spans="1:10" x14ac:dyDescent="0.25">
      <c r="A840" s="1">
        <v>44712</v>
      </c>
      <c r="B840" t="s">
        <v>11</v>
      </c>
      <c r="C840" t="s">
        <v>16</v>
      </c>
      <c r="D840">
        <v>104426</v>
      </c>
      <c r="E840">
        <v>148839</v>
      </c>
      <c r="F840">
        <v>-44413</v>
      </c>
      <c r="G840">
        <v>-61925</v>
      </c>
      <c r="H840">
        <v>641048</v>
      </c>
      <c r="I840">
        <v>652439</v>
      </c>
      <c r="J840">
        <v>-11391</v>
      </c>
    </row>
    <row r="841" spans="1:10" x14ac:dyDescent="0.25">
      <c r="A841" s="1">
        <v>44712</v>
      </c>
      <c r="B841" t="s">
        <v>11</v>
      </c>
      <c r="C841" t="s">
        <v>17</v>
      </c>
      <c r="D841">
        <v>179303</v>
      </c>
      <c r="E841">
        <v>71308</v>
      </c>
      <c r="F841">
        <v>107995</v>
      </c>
      <c r="G841">
        <v>91518</v>
      </c>
      <c r="H841">
        <v>978883</v>
      </c>
      <c r="I841">
        <v>276743</v>
      </c>
      <c r="J841">
        <v>702140</v>
      </c>
    </row>
    <row r="842" spans="1:10" x14ac:dyDescent="0.25">
      <c r="A842" s="1">
        <v>44712</v>
      </c>
      <c r="B842" t="s">
        <v>12</v>
      </c>
      <c r="C842" t="s">
        <v>14</v>
      </c>
      <c r="D842">
        <v>190306</v>
      </c>
      <c r="E842">
        <v>154108</v>
      </c>
      <c r="F842">
        <v>36198</v>
      </c>
      <c r="G842">
        <v>22518</v>
      </c>
      <c r="H842">
        <v>726492</v>
      </c>
      <c r="I842">
        <v>192769</v>
      </c>
      <c r="J842">
        <v>533723</v>
      </c>
    </row>
    <row r="843" spans="1:10" x14ac:dyDescent="0.25">
      <c r="A843" s="1">
        <v>44712</v>
      </c>
      <c r="B843" t="s">
        <v>12</v>
      </c>
      <c r="C843" t="s">
        <v>15</v>
      </c>
      <c r="D843">
        <v>187265</v>
      </c>
      <c r="E843">
        <v>91131</v>
      </c>
      <c r="F843">
        <v>96134</v>
      </c>
      <c r="G843">
        <v>87858</v>
      </c>
      <c r="H843">
        <v>758158</v>
      </c>
      <c r="I843">
        <v>727835</v>
      </c>
      <c r="J843">
        <v>30323</v>
      </c>
    </row>
    <row r="844" spans="1:10" x14ac:dyDescent="0.25">
      <c r="A844" s="1">
        <v>44712</v>
      </c>
      <c r="B844" t="s">
        <v>12</v>
      </c>
      <c r="C844" t="s">
        <v>16</v>
      </c>
      <c r="D844">
        <v>149067</v>
      </c>
      <c r="E844">
        <v>118585</v>
      </c>
      <c r="F844">
        <v>30482</v>
      </c>
      <c r="G844">
        <v>16775</v>
      </c>
      <c r="H844">
        <v>312217</v>
      </c>
      <c r="I844">
        <v>518184</v>
      </c>
      <c r="J844">
        <v>-205967</v>
      </c>
    </row>
    <row r="845" spans="1:10" x14ac:dyDescent="0.25">
      <c r="A845" s="1">
        <v>44712</v>
      </c>
      <c r="B845" t="s">
        <v>12</v>
      </c>
      <c r="C845" t="s">
        <v>17</v>
      </c>
      <c r="D845">
        <v>198934</v>
      </c>
      <c r="E845">
        <v>71908</v>
      </c>
      <c r="F845">
        <v>127026</v>
      </c>
      <c r="G845">
        <v>111987</v>
      </c>
      <c r="H845">
        <v>702367</v>
      </c>
      <c r="I845">
        <v>436851</v>
      </c>
      <c r="J845">
        <v>265516</v>
      </c>
    </row>
    <row r="846" spans="1:10" x14ac:dyDescent="0.25">
      <c r="A846" s="1">
        <v>44712</v>
      </c>
      <c r="B846" t="s">
        <v>13</v>
      </c>
      <c r="C846" t="s">
        <v>14</v>
      </c>
      <c r="D846">
        <v>178257</v>
      </c>
      <c r="E846">
        <v>121215</v>
      </c>
      <c r="F846">
        <v>57042</v>
      </c>
      <c r="G846">
        <v>45359</v>
      </c>
      <c r="H846">
        <v>511573</v>
      </c>
      <c r="I846">
        <v>732336</v>
      </c>
      <c r="J846">
        <v>-220763</v>
      </c>
    </row>
    <row r="847" spans="1:10" x14ac:dyDescent="0.25">
      <c r="A847" s="1">
        <v>44712</v>
      </c>
      <c r="B847" t="s">
        <v>13</v>
      </c>
      <c r="C847" t="s">
        <v>15</v>
      </c>
      <c r="D847">
        <v>138458</v>
      </c>
      <c r="E847">
        <v>106169</v>
      </c>
      <c r="F847">
        <v>32289</v>
      </c>
      <c r="G847">
        <v>19630</v>
      </c>
      <c r="H847">
        <v>653830</v>
      </c>
      <c r="I847">
        <v>439384</v>
      </c>
      <c r="J847">
        <v>214446</v>
      </c>
    </row>
    <row r="848" spans="1:10" x14ac:dyDescent="0.25">
      <c r="A848" s="1">
        <v>44712</v>
      </c>
      <c r="B848" t="s">
        <v>13</v>
      </c>
      <c r="C848" t="s">
        <v>16</v>
      </c>
      <c r="D848">
        <v>132793</v>
      </c>
      <c r="E848">
        <v>106473</v>
      </c>
      <c r="F848">
        <v>26320</v>
      </c>
      <c r="G848">
        <v>6478</v>
      </c>
      <c r="H848">
        <v>944748</v>
      </c>
      <c r="I848">
        <v>590834</v>
      </c>
      <c r="J848">
        <v>353914</v>
      </c>
    </row>
    <row r="849" spans="1:10" x14ac:dyDescent="0.25">
      <c r="A849" s="1">
        <v>44712</v>
      </c>
      <c r="B849" t="s">
        <v>13</v>
      </c>
      <c r="C849" t="s">
        <v>17</v>
      </c>
      <c r="D849">
        <v>188330</v>
      </c>
      <c r="E849">
        <v>115751</v>
      </c>
      <c r="F849">
        <v>72579</v>
      </c>
      <c r="G849">
        <v>55956</v>
      </c>
      <c r="H849">
        <v>934275</v>
      </c>
      <c r="I849">
        <v>369150</v>
      </c>
      <c r="J849">
        <v>565125</v>
      </c>
    </row>
    <row r="850" spans="1:10" x14ac:dyDescent="0.25">
      <c r="A850" s="1">
        <v>44742</v>
      </c>
      <c r="B850" t="s">
        <v>10</v>
      </c>
      <c r="C850" t="s">
        <v>14</v>
      </c>
      <c r="D850">
        <v>174218</v>
      </c>
      <c r="E850">
        <v>125344</v>
      </c>
      <c r="F850">
        <v>48874</v>
      </c>
      <c r="G850">
        <v>42802</v>
      </c>
      <c r="H850">
        <v>756718</v>
      </c>
      <c r="I850">
        <v>123091</v>
      </c>
      <c r="J850">
        <v>633627</v>
      </c>
    </row>
    <row r="851" spans="1:10" x14ac:dyDescent="0.25">
      <c r="A851" s="1">
        <v>44742</v>
      </c>
      <c r="B851" t="s">
        <v>10</v>
      </c>
      <c r="C851" t="s">
        <v>15</v>
      </c>
      <c r="D851">
        <v>132983</v>
      </c>
      <c r="E851">
        <v>83989</v>
      </c>
      <c r="F851">
        <v>48994</v>
      </c>
      <c r="G851">
        <v>34079</v>
      </c>
      <c r="H851">
        <v>218990</v>
      </c>
      <c r="I851">
        <v>452414</v>
      </c>
      <c r="J851">
        <v>-233424</v>
      </c>
    </row>
    <row r="852" spans="1:10" x14ac:dyDescent="0.25">
      <c r="A852" s="1">
        <v>44742</v>
      </c>
      <c r="B852" t="s">
        <v>10</v>
      </c>
      <c r="C852" t="s">
        <v>16</v>
      </c>
      <c r="D852">
        <v>180360</v>
      </c>
      <c r="E852">
        <v>96081</v>
      </c>
      <c r="F852">
        <v>84279</v>
      </c>
      <c r="G852">
        <v>68246</v>
      </c>
      <c r="H852">
        <v>570416</v>
      </c>
      <c r="I852">
        <v>224932</v>
      </c>
      <c r="J852">
        <v>345484</v>
      </c>
    </row>
    <row r="853" spans="1:10" x14ac:dyDescent="0.25">
      <c r="A853" s="1">
        <v>44742</v>
      </c>
      <c r="B853" t="s">
        <v>10</v>
      </c>
      <c r="C853" t="s">
        <v>17</v>
      </c>
      <c r="D853">
        <v>105939</v>
      </c>
      <c r="E853">
        <v>107562</v>
      </c>
      <c r="F853">
        <v>-1623</v>
      </c>
      <c r="G853">
        <v>-8918</v>
      </c>
      <c r="H853">
        <v>693216</v>
      </c>
      <c r="I853">
        <v>782405</v>
      </c>
      <c r="J853">
        <v>-89189</v>
      </c>
    </row>
    <row r="854" spans="1:10" x14ac:dyDescent="0.25">
      <c r="A854" s="1">
        <v>44742</v>
      </c>
      <c r="B854" t="s">
        <v>11</v>
      </c>
      <c r="C854" t="s">
        <v>14</v>
      </c>
      <c r="D854">
        <v>144769</v>
      </c>
      <c r="E854">
        <v>107118</v>
      </c>
      <c r="F854">
        <v>37651</v>
      </c>
      <c r="G854">
        <v>29868</v>
      </c>
      <c r="H854">
        <v>695164</v>
      </c>
      <c r="I854">
        <v>514841</v>
      </c>
      <c r="J854">
        <v>180323</v>
      </c>
    </row>
    <row r="855" spans="1:10" x14ac:dyDescent="0.25">
      <c r="A855" s="1">
        <v>44742</v>
      </c>
      <c r="B855" t="s">
        <v>11</v>
      </c>
      <c r="C855" t="s">
        <v>15</v>
      </c>
      <c r="D855">
        <v>127076</v>
      </c>
      <c r="E855">
        <v>124805</v>
      </c>
      <c r="F855">
        <v>2271</v>
      </c>
      <c r="G855">
        <v>-14566</v>
      </c>
      <c r="H855">
        <v>546709</v>
      </c>
      <c r="I855">
        <v>581725</v>
      </c>
      <c r="J855">
        <v>-35016</v>
      </c>
    </row>
    <row r="856" spans="1:10" x14ac:dyDescent="0.25">
      <c r="A856" s="1">
        <v>44742</v>
      </c>
      <c r="B856" t="s">
        <v>11</v>
      </c>
      <c r="C856" t="s">
        <v>16</v>
      </c>
      <c r="D856">
        <v>139121</v>
      </c>
      <c r="E856">
        <v>125101</v>
      </c>
      <c r="F856">
        <v>14020</v>
      </c>
      <c r="G856">
        <v>-1521</v>
      </c>
      <c r="H856">
        <v>637470</v>
      </c>
      <c r="I856">
        <v>458402</v>
      </c>
      <c r="J856">
        <v>179068</v>
      </c>
    </row>
    <row r="857" spans="1:10" x14ac:dyDescent="0.25">
      <c r="A857" s="1">
        <v>44742</v>
      </c>
      <c r="B857" t="s">
        <v>11</v>
      </c>
      <c r="C857" t="s">
        <v>17</v>
      </c>
      <c r="D857">
        <v>137853</v>
      </c>
      <c r="E857">
        <v>98405</v>
      </c>
      <c r="F857">
        <v>39448</v>
      </c>
      <c r="G857">
        <v>33332</v>
      </c>
      <c r="H857">
        <v>767815</v>
      </c>
      <c r="I857">
        <v>239883</v>
      </c>
      <c r="J857">
        <v>527932</v>
      </c>
    </row>
    <row r="858" spans="1:10" x14ac:dyDescent="0.25">
      <c r="A858" s="1">
        <v>44742</v>
      </c>
      <c r="B858" t="s">
        <v>12</v>
      </c>
      <c r="C858" t="s">
        <v>14</v>
      </c>
      <c r="D858">
        <v>193344</v>
      </c>
      <c r="E858">
        <v>84272</v>
      </c>
      <c r="F858">
        <v>109072</v>
      </c>
      <c r="G858">
        <v>92057</v>
      </c>
      <c r="H858">
        <v>665226</v>
      </c>
      <c r="I858">
        <v>671441</v>
      </c>
      <c r="J858">
        <v>-6215</v>
      </c>
    </row>
    <row r="859" spans="1:10" x14ac:dyDescent="0.25">
      <c r="A859" s="1">
        <v>44742</v>
      </c>
      <c r="B859" t="s">
        <v>12</v>
      </c>
      <c r="C859" t="s">
        <v>15</v>
      </c>
      <c r="D859">
        <v>154110</v>
      </c>
      <c r="E859">
        <v>73979</v>
      </c>
      <c r="F859">
        <v>80131</v>
      </c>
      <c r="G859">
        <v>63376</v>
      </c>
      <c r="H859">
        <v>963461</v>
      </c>
      <c r="I859">
        <v>128328</v>
      </c>
      <c r="J859">
        <v>835133</v>
      </c>
    </row>
    <row r="860" spans="1:10" x14ac:dyDescent="0.25">
      <c r="A860" s="1">
        <v>44742</v>
      </c>
      <c r="B860" t="s">
        <v>12</v>
      </c>
      <c r="C860" t="s">
        <v>16</v>
      </c>
      <c r="D860">
        <v>112867</v>
      </c>
      <c r="E860">
        <v>119234</v>
      </c>
      <c r="F860">
        <v>-6367</v>
      </c>
      <c r="G860">
        <v>-20834</v>
      </c>
      <c r="H860">
        <v>972791</v>
      </c>
      <c r="I860">
        <v>327135</v>
      </c>
      <c r="J860">
        <v>645656</v>
      </c>
    </row>
    <row r="861" spans="1:10" x14ac:dyDescent="0.25">
      <c r="A861" s="1">
        <v>44742</v>
      </c>
      <c r="B861" t="s">
        <v>12</v>
      </c>
      <c r="C861" t="s">
        <v>17</v>
      </c>
      <c r="D861">
        <v>173402</v>
      </c>
      <c r="E861">
        <v>75449</v>
      </c>
      <c r="F861">
        <v>97953</v>
      </c>
      <c r="G861">
        <v>82268</v>
      </c>
      <c r="H861">
        <v>729739</v>
      </c>
      <c r="I861">
        <v>187178</v>
      </c>
      <c r="J861">
        <v>542561</v>
      </c>
    </row>
    <row r="862" spans="1:10" x14ac:dyDescent="0.25">
      <c r="A862" s="1">
        <v>44742</v>
      </c>
      <c r="B862" t="s">
        <v>13</v>
      </c>
      <c r="C862" t="s">
        <v>14</v>
      </c>
      <c r="D862">
        <v>141316</v>
      </c>
      <c r="E862">
        <v>123064</v>
      </c>
      <c r="F862">
        <v>18252</v>
      </c>
      <c r="G862">
        <v>-1357</v>
      </c>
      <c r="H862">
        <v>436562</v>
      </c>
      <c r="I862">
        <v>401014</v>
      </c>
      <c r="J862">
        <v>35548</v>
      </c>
    </row>
    <row r="863" spans="1:10" x14ac:dyDescent="0.25">
      <c r="A863" s="1">
        <v>44742</v>
      </c>
      <c r="B863" t="s">
        <v>13</v>
      </c>
      <c r="C863" t="s">
        <v>15</v>
      </c>
      <c r="D863">
        <v>196566</v>
      </c>
      <c r="E863">
        <v>90873</v>
      </c>
      <c r="F863">
        <v>105693</v>
      </c>
      <c r="G863">
        <v>86992</v>
      </c>
      <c r="H863">
        <v>913987</v>
      </c>
      <c r="I863">
        <v>297227</v>
      </c>
      <c r="J863">
        <v>616760</v>
      </c>
    </row>
    <row r="864" spans="1:10" x14ac:dyDescent="0.25">
      <c r="A864" s="1">
        <v>44742</v>
      </c>
      <c r="B864" t="s">
        <v>13</v>
      </c>
      <c r="C864" t="s">
        <v>16</v>
      </c>
      <c r="D864">
        <v>199186</v>
      </c>
      <c r="E864">
        <v>85372</v>
      </c>
      <c r="F864">
        <v>113814</v>
      </c>
      <c r="G864">
        <v>105172</v>
      </c>
      <c r="H864">
        <v>460220</v>
      </c>
      <c r="I864">
        <v>521217</v>
      </c>
      <c r="J864">
        <v>-60997</v>
      </c>
    </row>
    <row r="865" spans="1:10" x14ac:dyDescent="0.25">
      <c r="A865" s="1">
        <v>44742</v>
      </c>
      <c r="B865" t="s">
        <v>13</v>
      </c>
      <c r="C865" t="s">
        <v>17</v>
      </c>
      <c r="D865">
        <v>134064</v>
      </c>
      <c r="E865">
        <v>154826</v>
      </c>
      <c r="F865">
        <v>-20762</v>
      </c>
      <c r="G865">
        <v>-39884</v>
      </c>
      <c r="H865">
        <v>268431</v>
      </c>
      <c r="I865">
        <v>155745</v>
      </c>
      <c r="J865">
        <v>112686</v>
      </c>
    </row>
    <row r="866" spans="1:10" x14ac:dyDescent="0.25">
      <c r="A866" s="1">
        <v>44773</v>
      </c>
      <c r="B866" t="s">
        <v>10</v>
      </c>
      <c r="C866" t="s">
        <v>14</v>
      </c>
      <c r="D866">
        <v>150081</v>
      </c>
      <c r="E866">
        <v>130902</v>
      </c>
      <c r="F866">
        <v>19179</v>
      </c>
      <c r="G866">
        <v>5468</v>
      </c>
      <c r="H866">
        <v>416204</v>
      </c>
      <c r="I866">
        <v>501415</v>
      </c>
      <c r="J866">
        <v>-85211</v>
      </c>
    </row>
    <row r="867" spans="1:10" x14ac:dyDescent="0.25">
      <c r="A867" s="1">
        <v>44773</v>
      </c>
      <c r="B867" t="s">
        <v>10</v>
      </c>
      <c r="C867" t="s">
        <v>15</v>
      </c>
      <c r="D867">
        <v>176253</v>
      </c>
      <c r="E867">
        <v>96191</v>
      </c>
      <c r="F867">
        <v>80062</v>
      </c>
      <c r="G867">
        <v>64851</v>
      </c>
      <c r="H867">
        <v>311086</v>
      </c>
      <c r="I867">
        <v>556285</v>
      </c>
      <c r="J867">
        <v>-245199</v>
      </c>
    </row>
    <row r="868" spans="1:10" x14ac:dyDescent="0.25">
      <c r="A868" s="1">
        <v>44773</v>
      </c>
      <c r="B868" t="s">
        <v>10</v>
      </c>
      <c r="C868" t="s">
        <v>16</v>
      </c>
      <c r="D868">
        <v>188896</v>
      </c>
      <c r="E868">
        <v>116746</v>
      </c>
      <c r="F868">
        <v>72150</v>
      </c>
      <c r="G868">
        <v>61992</v>
      </c>
      <c r="H868">
        <v>624528</v>
      </c>
      <c r="I868">
        <v>538458</v>
      </c>
      <c r="J868">
        <v>86070</v>
      </c>
    </row>
    <row r="869" spans="1:10" x14ac:dyDescent="0.25">
      <c r="A869" s="1">
        <v>44773</v>
      </c>
      <c r="B869" t="s">
        <v>10</v>
      </c>
      <c r="C869" t="s">
        <v>17</v>
      </c>
      <c r="D869">
        <v>193783</v>
      </c>
      <c r="E869">
        <v>147893</v>
      </c>
      <c r="F869">
        <v>45890</v>
      </c>
      <c r="G869">
        <v>34654</v>
      </c>
      <c r="H869">
        <v>699797</v>
      </c>
      <c r="I869">
        <v>258763</v>
      </c>
      <c r="J869">
        <v>441034</v>
      </c>
    </row>
    <row r="870" spans="1:10" x14ac:dyDescent="0.25">
      <c r="A870" s="1">
        <v>44773</v>
      </c>
      <c r="B870" t="s">
        <v>11</v>
      </c>
      <c r="C870" t="s">
        <v>14</v>
      </c>
      <c r="D870">
        <v>177960</v>
      </c>
      <c r="E870">
        <v>144388</v>
      </c>
      <c r="F870">
        <v>33572</v>
      </c>
      <c r="G870">
        <v>22355</v>
      </c>
      <c r="H870">
        <v>611236</v>
      </c>
      <c r="I870">
        <v>239227</v>
      </c>
      <c r="J870">
        <v>372009</v>
      </c>
    </row>
    <row r="871" spans="1:10" x14ac:dyDescent="0.25">
      <c r="A871" s="1">
        <v>44773</v>
      </c>
      <c r="B871" t="s">
        <v>11</v>
      </c>
      <c r="C871" t="s">
        <v>15</v>
      </c>
      <c r="D871">
        <v>169119</v>
      </c>
      <c r="E871">
        <v>141051</v>
      </c>
      <c r="F871">
        <v>28068</v>
      </c>
      <c r="G871">
        <v>19059</v>
      </c>
      <c r="H871">
        <v>481854</v>
      </c>
      <c r="I871">
        <v>470858</v>
      </c>
      <c r="J871">
        <v>10996</v>
      </c>
    </row>
    <row r="872" spans="1:10" x14ac:dyDescent="0.25">
      <c r="A872" s="1">
        <v>44773</v>
      </c>
      <c r="B872" t="s">
        <v>11</v>
      </c>
      <c r="C872" t="s">
        <v>16</v>
      </c>
      <c r="D872">
        <v>124532</v>
      </c>
      <c r="E872">
        <v>78601</v>
      </c>
      <c r="F872">
        <v>45931</v>
      </c>
      <c r="G872">
        <v>26856</v>
      </c>
      <c r="H872">
        <v>860327</v>
      </c>
      <c r="I872">
        <v>708577</v>
      </c>
      <c r="J872">
        <v>151750</v>
      </c>
    </row>
    <row r="873" spans="1:10" x14ac:dyDescent="0.25">
      <c r="A873" s="1">
        <v>44773</v>
      </c>
      <c r="B873" t="s">
        <v>11</v>
      </c>
      <c r="C873" t="s">
        <v>17</v>
      </c>
      <c r="D873">
        <v>120022</v>
      </c>
      <c r="E873">
        <v>103463</v>
      </c>
      <c r="F873">
        <v>16559</v>
      </c>
      <c r="G873">
        <v>2424</v>
      </c>
      <c r="H873">
        <v>992154</v>
      </c>
      <c r="I873">
        <v>782773</v>
      </c>
      <c r="J873">
        <v>209381</v>
      </c>
    </row>
    <row r="874" spans="1:10" x14ac:dyDescent="0.25">
      <c r="A874" s="1">
        <v>44773</v>
      </c>
      <c r="B874" t="s">
        <v>12</v>
      </c>
      <c r="C874" t="s">
        <v>14</v>
      </c>
      <c r="D874">
        <v>192772</v>
      </c>
      <c r="E874">
        <v>141050</v>
      </c>
      <c r="F874">
        <v>51722</v>
      </c>
      <c r="G874">
        <v>35594</v>
      </c>
      <c r="H874">
        <v>958108</v>
      </c>
      <c r="I874">
        <v>579083</v>
      </c>
      <c r="J874">
        <v>379025</v>
      </c>
    </row>
    <row r="875" spans="1:10" x14ac:dyDescent="0.25">
      <c r="A875" s="1">
        <v>44773</v>
      </c>
      <c r="B875" t="s">
        <v>12</v>
      </c>
      <c r="C875" t="s">
        <v>15</v>
      </c>
      <c r="D875">
        <v>183596</v>
      </c>
      <c r="E875">
        <v>126732</v>
      </c>
      <c r="F875">
        <v>56864</v>
      </c>
      <c r="G875">
        <v>39567</v>
      </c>
      <c r="H875">
        <v>268323</v>
      </c>
      <c r="I875">
        <v>385960</v>
      </c>
      <c r="J875">
        <v>-117637</v>
      </c>
    </row>
    <row r="876" spans="1:10" x14ac:dyDescent="0.25">
      <c r="A876" s="1">
        <v>44773</v>
      </c>
      <c r="B876" t="s">
        <v>12</v>
      </c>
      <c r="C876" t="s">
        <v>16</v>
      </c>
      <c r="D876">
        <v>140695</v>
      </c>
      <c r="E876">
        <v>79702</v>
      </c>
      <c r="F876">
        <v>60993</v>
      </c>
      <c r="G876">
        <v>47135</v>
      </c>
      <c r="H876">
        <v>255841</v>
      </c>
      <c r="I876">
        <v>490642</v>
      </c>
      <c r="J876">
        <v>-234801</v>
      </c>
    </row>
    <row r="877" spans="1:10" x14ac:dyDescent="0.25">
      <c r="A877" s="1">
        <v>44773</v>
      </c>
      <c r="B877" t="s">
        <v>12</v>
      </c>
      <c r="C877" t="s">
        <v>17</v>
      </c>
      <c r="D877">
        <v>167712</v>
      </c>
      <c r="E877">
        <v>145663</v>
      </c>
      <c r="F877">
        <v>22049</v>
      </c>
      <c r="G877">
        <v>8257</v>
      </c>
      <c r="H877">
        <v>292764</v>
      </c>
      <c r="I877">
        <v>546790</v>
      </c>
      <c r="J877">
        <v>-254026</v>
      </c>
    </row>
    <row r="878" spans="1:10" x14ac:dyDescent="0.25">
      <c r="A878" s="1">
        <v>44773</v>
      </c>
      <c r="B878" t="s">
        <v>13</v>
      </c>
      <c r="C878" t="s">
        <v>14</v>
      </c>
      <c r="D878">
        <v>185744</v>
      </c>
      <c r="E878">
        <v>88482</v>
      </c>
      <c r="F878">
        <v>97262</v>
      </c>
      <c r="G878">
        <v>83091</v>
      </c>
      <c r="H878">
        <v>825043</v>
      </c>
      <c r="I878">
        <v>592148</v>
      </c>
      <c r="J878">
        <v>232895</v>
      </c>
    </row>
    <row r="879" spans="1:10" x14ac:dyDescent="0.25">
      <c r="A879" s="1">
        <v>44773</v>
      </c>
      <c r="B879" t="s">
        <v>13</v>
      </c>
      <c r="C879" t="s">
        <v>15</v>
      </c>
      <c r="D879">
        <v>103696</v>
      </c>
      <c r="E879">
        <v>80058</v>
      </c>
      <c r="F879">
        <v>23638</v>
      </c>
      <c r="G879">
        <v>14709</v>
      </c>
      <c r="H879">
        <v>245740</v>
      </c>
      <c r="I879">
        <v>206611</v>
      </c>
      <c r="J879">
        <v>39129</v>
      </c>
    </row>
    <row r="880" spans="1:10" x14ac:dyDescent="0.25">
      <c r="A880" s="1">
        <v>44773</v>
      </c>
      <c r="B880" t="s">
        <v>13</v>
      </c>
      <c r="C880" t="s">
        <v>16</v>
      </c>
      <c r="D880">
        <v>104956</v>
      </c>
      <c r="E880">
        <v>135731</v>
      </c>
      <c r="F880">
        <v>-30775</v>
      </c>
      <c r="G880">
        <v>-36467</v>
      </c>
      <c r="H880">
        <v>973210</v>
      </c>
      <c r="I880">
        <v>428785</v>
      </c>
      <c r="J880">
        <v>544425</v>
      </c>
    </row>
    <row r="881" spans="1:10" x14ac:dyDescent="0.25">
      <c r="A881" s="1">
        <v>44773</v>
      </c>
      <c r="B881" t="s">
        <v>13</v>
      </c>
      <c r="C881" t="s">
        <v>17</v>
      </c>
      <c r="D881">
        <v>163811</v>
      </c>
      <c r="E881">
        <v>112160</v>
      </c>
      <c r="F881">
        <v>51651</v>
      </c>
      <c r="G881">
        <v>44490</v>
      </c>
      <c r="H881">
        <v>787520</v>
      </c>
      <c r="I881">
        <v>780089</v>
      </c>
      <c r="J881">
        <v>7431</v>
      </c>
    </row>
    <row r="882" spans="1:10" x14ac:dyDescent="0.25">
      <c r="A882" s="1">
        <v>44804</v>
      </c>
      <c r="B882" t="s">
        <v>10</v>
      </c>
      <c r="C882" t="s">
        <v>14</v>
      </c>
      <c r="D882">
        <v>130099</v>
      </c>
      <c r="E882">
        <v>158134</v>
      </c>
      <c r="F882">
        <v>-28035</v>
      </c>
      <c r="G882">
        <v>-46612</v>
      </c>
      <c r="H882">
        <v>842762</v>
      </c>
      <c r="I882">
        <v>371400</v>
      </c>
      <c r="J882">
        <v>471362</v>
      </c>
    </row>
    <row r="883" spans="1:10" x14ac:dyDescent="0.25">
      <c r="A883" s="1">
        <v>44804</v>
      </c>
      <c r="B883" t="s">
        <v>10</v>
      </c>
      <c r="C883" t="s">
        <v>15</v>
      </c>
      <c r="D883">
        <v>186120</v>
      </c>
      <c r="E883">
        <v>94681</v>
      </c>
      <c r="F883">
        <v>91439</v>
      </c>
      <c r="G883">
        <v>77031</v>
      </c>
      <c r="H883">
        <v>942800</v>
      </c>
      <c r="I883">
        <v>405505</v>
      </c>
      <c r="J883">
        <v>537295</v>
      </c>
    </row>
    <row r="884" spans="1:10" x14ac:dyDescent="0.25">
      <c r="A884" s="1">
        <v>44804</v>
      </c>
      <c r="B884" t="s">
        <v>10</v>
      </c>
      <c r="C884" t="s">
        <v>16</v>
      </c>
      <c r="D884">
        <v>164503</v>
      </c>
      <c r="E884">
        <v>94540</v>
      </c>
      <c r="F884">
        <v>69963</v>
      </c>
      <c r="G884">
        <v>54811</v>
      </c>
      <c r="H884">
        <v>284700</v>
      </c>
      <c r="I884">
        <v>440676</v>
      </c>
      <c r="J884">
        <v>-155976</v>
      </c>
    </row>
    <row r="885" spans="1:10" x14ac:dyDescent="0.25">
      <c r="A885" s="1">
        <v>44804</v>
      </c>
      <c r="B885" t="s">
        <v>10</v>
      </c>
      <c r="C885" t="s">
        <v>17</v>
      </c>
      <c r="D885">
        <v>156575</v>
      </c>
      <c r="E885">
        <v>62871</v>
      </c>
      <c r="F885">
        <v>93704</v>
      </c>
      <c r="G885">
        <v>75470</v>
      </c>
      <c r="H885">
        <v>249812</v>
      </c>
      <c r="I885">
        <v>515842</v>
      </c>
      <c r="J885">
        <v>-266030</v>
      </c>
    </row>
    <row r="886" spans="1:10" x14ac:dyDescent="0.25">
      <c r="A886" s="1">
        <v>44804</v>
      </c>
      <c r="B886" t="s">
        <v>11</v>
      </c>
      <c r="C886" t="s">
        <v>14</v>
      </c>
      <c r="D886">
        <v>159979</v>
      </c>
      <c r="E886">
        <v>136057</v>
      </c>
      <c r="F886">
        <v>23922</v>
      </c>
      <c r="G886">
        <v>6776</v>
      </c>
      <c r="H886">
        <v>308946</v>
      </c>
      <c r="I886">
        <v>166668</v>
      </c>
      <c r="J886">
        <v>142278</v>
      </c>
    </row>
    <row r="887" spans="1:10" x14ac:dyDescent="0.25">
      <c r="A887" s="1">
        <v>44804</v>
      </c>
      <c r="B887" t="s">
        <v>11</v>
      </c>
      <c r="C887" t="s">
        <v>15</v>
      </c>
      <c r="D887">
        <v>199003</v>
      </c>
      <c r="E887">
        <v>140070</v>
      </c>
      <c r="F887">
        <v>58933</v>
      </c>
      <c r="G887">
        <v>46463</v>
      </c>
      <c r="H887">
        <v>919174</v>
      </c>
      <c r="I887">
        <v>728889</v>
      </c>
      <c r="J887">
        <v>190285</v>
      </c>
    </row>
    <row r="888" spans="1:10" x14ac:dyDescent="0.25">
      <c r="A888" s="1">
        <v>44804</v>
      </c>
      <c r="B888" t="s">
        <v>11</v>
      </c>
      <c r="C888" t="s">
        <v>16</v>
      </c>
      <c r="D888">
        <v>145607</v>
      </c>
      <c r="E888">
        <v>67812</v>
      </c>
      <c r="F888">
        <v>77795</v>
      </c>
      <c r="G888">
        <v>60103</v>
      </c>
      <c r="H888">
        <v>925453</v>
      </c>
      <c r="I888">
        <v>495395</v>
      </c>
      <c r="J888">
        <v>430058</v>
      </c>
    </row>
    <row r="889" spans="1:10" x14ac:dyDescent="0.25">
      <c r="A889" s="1">
        <v>44804</v>
      </c>
      <c r="B889" t="s">
        <v>11</v>
      </c>
      <c r="C889" t="s">
        <v>17</v>
      </c>
      <c r="D889">
        <v>143798</v>
      </c>
      <c r="E889">
        <v>134601</v>
      </c>
      <c r="F889">
        <v>9197</v>
      </c>
      <c r="G889">
        <v>-4078</v>
      </c>
      <c r="H889">
        <v>510001</v>
      </c>
      <c r="I889">
        <v>487699</v>
      </c>
      <c r="J889">
        <v>22302</v>
      </c>
    </row>
    <row r="890" spans="1:10" x14ac:dyDescent="0.25">
      <c r="A890" s="1">
        <v>44804</v>
      </c>
      <c r="B890" t="s">
        <v>12</v>
      </c>
      <c r="C890" t="s">
        <v>14</v>
      </c>
      <c r="D890">
        <v>120700</v>
      </c>
      <c r="E890">
        <v>99464</v>
      </c>
      <c r="F890">
        <v>21236</v>
      </c>
      <c r="G890">
        <v>6653</v>
      </c>
      <c r="H890">
        <v>293330</v>
      </c>
      <c r="I890">
        <v>325391</v>
      </c>
      <c r="J890">
        <v>-32061</v>
      </c>
    </row>
    <row r="891" spans="1:10" x14ac:dyDescent="0.25">
      <c r="A891" s="1">
        <v>44804</v>
      </c>
      <c r="B891" t="s">
        <v>12</v>
      </c>
      <c r="C891" t="s">
        <v>15</v>
      </c>
      <c r="D891">
        <v>182534</v>
      </c>
      <c r="E891">
        <v>73869</v>
      </c>
      <c r="F891">
        <v>108665</v>
      </c>
      <c r="G891">
        <v>92502</v>
      </c>
      <c r="H891">
        <v>441133</v>
      </c>
      <c r="I891">
        <v>586904</v>
      </c>
      <c r="J891">
        <v>-145771</v>
      </c>
    </row>
    <row r="892" spans="1:10" x14ac:dyDescent="0.25">
      <c r="A892" s="1">
        <v>44804</v>
      </c>
      <c r="B892" t="s">
        <v>12</v>
      </c>
      <c r="C892" t="s">
        <v>16</v>
      </c>
      <c r="D892">
        <v>120954</v>
      </c>
      <c r="E892">
        <v>91555</v>
      </c>
      <c r="F892">
        <v>29399</v>
      </c>
      <c r="G892">
        <v>10198</v>
      </c>
      <c r="H892">
        <v>675406</v>
      </c>
      <c r="I892">
        <v>538242</v>
      </c>
      <c r="J892">
        <v>137164</v>
      </c>
    </row>
    <row r="893" spans="1:10" x14ac:dyDescent="0.25">
      <c r="A893" s="1">
        <v>44804</v>
      </c>
      <c r="B893" t="s">
        <v>12</v>
      </c>
      <c r="C893" t="s">
        <v>17</v>
      </c>
      <c r="D893">
        <v>146976</v>
      </c>
      <c r="E893">
        <v>140578</v>
      </c>
      <c r="F893">
        <v>6398</v>
      </c>
      <c r="G893">
        <v>-8184</v>
      </c>
      <c r="H893">
        <v>576087</v>
      </c>
      <c r="I893">
        <v>471994</v>
      </c>
      <c r="J893">
        <v>104093</v>
      </c>
    </row>
    <row r="894" spans="1:10" x14ac:dyDescent="0.25">
      <c r="A894" s="1">
        <v>44804</v>
      </c>
      <c r="B894" t="s">
        <v>13</v>
      </c>
      <c r="C894" t="s">
        <v>14</v>
      </c>
      <c r="D894">
        <v>145095</v>
      </c>
      <c r="E894">
        <v>74270</v>
      </c>
      <c r="F894">
        <v>70825</v>
      </c>
      <c r="G894">
        <v>51301</v>
      </c>
      <c r="H894">
        <v>262433</v>
      </c>
      <c r="I894">
        <v>644279</v>
      </c>
      <c r="J894">
        <v>-381846</v>
      </c>
    </row>
    <row r="895" spans="1:10" x14ac:dyDescent="0.25">
      <c r="A895" s="1">
        <v>44804</v>
      </c>
      <c r="B895" t="s">
        <v>13</v>
      </c>
      <c r="C895" t="s">
        <v>15</v>
      </c>
      <c r="D895">
        <v>110775</v>
      </c>
      <c r="E895">
        <v>137801</v>
      </c>
      <c r="F895">
        <v>-27026</v>
      </c>
      <c r="G895">
        <v>-35101</v>
      </c>
      <c r="H895">
        <v>347745</v>
      </c>
      <c r="I895">
        <v>747096</v>
      </c>
      <c r="J895">
        <v>-399351</v>
      </c>
    </row>
    <row r="896" spans="1:10" x14ac:dyDescent="0.25">
      <c r="A896" s="1">
        <v>44804</v>
      </c>
      <c r="B896" t="s">
        <v>13</v>
      </c>
      <c r="C896" t="s">
        <v>16</v>
      </c>
      <c r="D896">
        <v>127056</v>
      </c>
      <c r="E896">
        <v>66614</v>
      </c>
      <c r="F896">
        <v>60442</v>
      </c>
      <c r="G896">
        <v>52190</v>
      </c>
      <c r="H896">
        <v>207415</v>
      </c>
      <c r="I896">
        <v>537100</v>
      </c>
      <c r="J896">
        <v>-329685</v>
      </c>
    </row>
    <row r="897" spans="1:10" x14ac:dyDescent="0.25">
      <c r="A897" s="1">
        <v>44804</v>
      </c>
      <c r="B897" t="s">
        <v>13</v>
      </c>
      <c r="C897" t="s">
        <v>17</v>
      </c>
      <c r="D897">
        <v>116964</v>
      </c>
      <c r="E897">
        <v>97726</v>
      </c>
      <c r="F897">
        <v>19238</v>
      </c>
      <c r="G897">
        <v>5793</v>
      </c>
      <c r="H897">
        <v>499188</v>
      </c>
      <c r="I897">
        <v>268616</v>
      </c>
      <c r="J897">
        <v>230572</v>
      </c>
    </row>
    <row r="898" spans="1:10" x14ac:dyDescent="0.25">
      <c r="A898" s="1">
        <v>44834</v>
      </c>
      <c r="B898" t="s">
        <v>10</v>
      </c>
      <c r="C898" t="s">
        <v>14</v>
      </c>
      <c r="D898">
        <v>149976</v>
      </c>
      <c r="E898">
        <v>92252</v>
      </c>
      <c r="F898">
        <v>57724</v>
      </c>
      <c r="G898">
        <v>48892</v>
      </c>
      <c r="H898">
        <v>421883</v>
      </c>
      <c r="I898">
        <v>311509</v>
      </c>
      <c r="J898">
        <v>110374</v>
      </c>
    </row>
    <row r="899" spans="1:10" x14ac:dyDescent="0.25">
      <c r="A899" s="1">
        <v>44834</v>
      </c>
      <c r="B899" t="s">
        <v>10</v>
      </c>
      <c r="C899" t="s">
        <v>15</v>
      </c>
      <c r="D899">
        <v>134148</v>
      </c>
      <c r="E899">
        <v>121240</v>
      </c>
      <c r="F899">
        <v>12908</v>
      </c>
      <c r="G899">
        <v>-1957</v>
      </c>
      <c r="H899">
        <v>718823</v>
      </c>
      <c r="I899">
        <v>319526</v>
      </c>
      <c r="J899">
        <v>399297</v>
      </c>
    </row>
    <row r="900" spans="1:10" x14ac:dyDescent="0.25">
      <c r="A900" s="1">
        <v>44834</v>
      </c>
      <c r="B900" t="s">
        <v>10</v>
      </c>
      <c r="C900" t="s">
        <v>16</v>
      </c>
      <c r="D900">
        <v>185076</v>
      </c>
      <c r="E900">
        <v>137116</v>
      </c>
      <c r="F900">
        <v>47960</v>
      </c>
      <c r="G900">
        <v>38653</v>
      </c>
      <c r="H900">
        <v>913087</v>
      </c>
      <c r="I900">
        <v>138578</v>
      </c>
      <c r="J900">
        <v>774509</v>
      </c>
    </row>
    <row r="901" spans="1:10" x14ac:dyDescent="0.25">
      <c r="A901" s="1">
        <v>44834</v>
      </c>
      <c r="B901" t="s">
        <v>10</v>
      </c>
      <c r="C901" t="s">
        <v>17</v>
      </c>
      <c r="D901">
        <v>190453</v>
      </c>
      <c r="E901">
        <v>82318</v>
      </c>
      <c r="F901">
        <v>108135</v>
      </c>
      <c r="G901">
        <v>92956</v>
      </c>
      <c r="H901">
        <v>408859</v>
      </c>
      <c r="I901">
        <v>211435</v>
      </c>
      <c r="J901">
        <v>197424</v>
      </c>
    </row>
    <row r="902" spans="1:10" x14ac:dyDescent="0.25">
      <c r="A902" s="1">
        <v>44834</v>
      </c>
      <c r="B902" t="s">
        <v>11</v>
      </c>
      <c r="C902" t="s">
        <v>14</v>
      </c>
      <c r="D902">
        <v>185029</v>
      </c>
      <c r="E902">
        <v>80466</v>
      </c>
      <c r="F902">
        <v>104563</v>
      </c>
      <c r="G902">
        <v>85741</v>
      </c>
      <c r="H902">
        <v>245475</v>
      </c>
      <c r="I902">
        <v>257636</v>
      </c>
      <c r="J902">
        <v>-12161</v>
      </c>
    </row>
    <row r="903" spans="1:10" x14ac:dyDescent="0.25">
      <c r="A903" s="1">
        <v>44834</v>
      </c>
      <c r="B903" t="s">
        <v>11</v>
      </c>
      <c r="C903" t="s">
        <v>15</v>
      </c>
      <c r="D903">
        <v>122412</v>
      </c>
      <c r="E903">
        <v>153526</v>
      </c>
      <c r="F903">
        <v>-31114</v>
      </c>
      <c r="G903">
        <v>-37963</v>
      </c>
      <c r="H903">
        <v>392029</v>
      </c>
      <c r="I903">
        <v>528733</v>
      </c>
      <c r="J903">
        <v>-136704</v>
      </c>
    </row>
    <row r="904" spans="1:10" x14ac:dyDescent="0.25">
      <c r="A904" s="1">
        <v>44834</v>
      </c>
      <c r="B904" t="s">
        <v>11</v>
      </c>
      <c r="C904" t="s">
        <v>16</v>
      </c>
      <c r="D904">
        <v>113156</v>
      </c>
      <c r="E904">
        <v>83064</v>
      </c>
      <c r="F904">
        <v>30092</v>
      </c>
      <c r="G904">
        <v>15765</v>
      </c>
      <c r="H904">
        <v>754394</v>
      </c>
      <c r="I904">
        <v>582488</v>
      </c>
      <c r="J904">
        <v>171906</v>
      </c>
    </row>
    <row r="905" spans="1:10" x14ac:dyDescent="0.25">
      <c r="A905" s="1">
        <v>44834</v>
      </c>
      <c r="B905" t="s">
        <v>11</v>
      </c>
      <c r="C905" t="s">
        <v>17</v>
      </c>
      <c r="D905">
        <v>186511</v>
      </c>
      <c r="E905">
        <v>67214</v>
      </c>
      <c r="F905">
        <v>119297</v>
      </c>
      <c r="G905">
        <v>100100</v>
      </c>
      <c r="H905">
        <v>326479</v>
      </c>
      <c r="I905">
        <v>520343</v>
      </c>
      <c r="J905">
        <v>-193864</v>
      </c>
    </row>
    <row r="906" spans="1:10" x14ac:dyDescent="0.25">
      <c r="A906" s="1">
        <v>44834</v>
      </c>
      <c r="B906" t="s">
        <v>12</v>
      </c>
      <c r="C906" t="s">
        <v>14</v>
      </c>
      <c r="D906">
        <v>105141</v>
      </c>
      <c r="E906">
        <v>88884</v>
      </c>
      <c r="F906">
        <v>16257</v>
      </c>
      <c r="G906">
        <v>2756</v>
      </c>
      <c r="H906">
        <v>464852</v>
      </c>
      <c r="I906">
        <v>639376</v>
      </c>
      <c r="J906">
        <v>-174524</v>
      </c>
    </row>
    <row r="907" spans="1:10" x14ac:dyDescent="0.25">
      <c r="A907" s="1">
        <v>44834</v>
      </c>
      <c r="B907" t="s">
        <v>12</v>
      </c>
      <c r="C907" t="s">
        <v>15</v>
      </c>
      <c r="D907">
        <v>157615</v>
      </c>
      <c r="E907">
        <v>105046</v>
      </c>
      <c r="F907">
        <v>52569</v>
      </c>
      <c r="G907">
        <v>37555</v>
      </c>
      <c r="H907">
        <v>919785</v>
      </c>
      <c r="I907">
        <v>496489</v>
      </c>
      <c r="J907">
        <v>423296</v>
      </c>
    </row>
    <row r="908" spans="1:10" x14ac:dyDescent="0.25">
      <c r="A908" s="1">
        <v>44834</v>
      </c>
      <c r="B908" t="s">
        <v>12</v>
      </c>
      <c r="C908" t="s">
        <v>16</v>
      </c>
      <c r="D908">
        <v>147135</v>
      </c>
      <c r="E908">
        <v>90881</v>
      </c>
      <c r="F908">
        <v>56254</v>
      </c>
      <c r="G908">
        <v>38713</v>
      </c>
      <c r="H908">
        <v>339784</v>
      </c>
      <c r="I908">
        <v>305776</v>
      </c>
      <c r="J908">
        <v>34008</v>
      </c>
    </row>
    <row r="909" spans="1:10" x14ac:dyDescent="0.25">
      <c r="A909" s="1">
        <v>44834</v>
      </c>
      <c r="B909" t="s">
        <v>12</v>
      </c>
      <c r="C909" t="s">
        <v>17</v>
      </c>
      <c r="D909">
        <v>152874</v>
      </c>
      <c r="E909">
        <v>129087</v>
      </c>
      <c r="F909">
        <v>23787</v>
      </c>
      <c r="G909">
        <v>6490</v>
      </c>
      <c r="H909">
        <v>964629</v>
      </c>
      <c r="I909">
        <v>692656</v>
      </c>
      <c r="J909">
        <v>271973</v>
      </c>
    </row>
    <row r="910" spans="1:10" x14ac:dyDescent="0.25">
      <c r="A910" s="1">
        <v>44834</v>
      </c>
      <c r="B910" t="s">
        <v>13</v>
      </c>
      <c r="C910" t="s">
        <v>14</v>
      </c>
      <c r="D910">
        <v>194019</v>
      </c>
      <c r="E910">
        <v>147599</v>
      </c>
      <c r="F910">
        <v>46420</v>
      </c>
      <c r="G910">
        <v>34841</v>
      </c>
      <c r="H910">
        <v>541102</v>
      </c>
      <c r="I910">
        <v>395064</v>
      </c>
      <c r="J910">
        <v>146038</v>
      </c>
    </row>
    <row r="911" spans="1:10" x14ac:dyDescent="0.25">
      <c r="A911" s="1">
        <v>44834</v>
      </c>
      <c r="B911" t="s">
        <v>13</v>
      </c>
      <c r="C911" t="s">
        <v>15</v>
      </c>
      <c r="D911">
        <v>111156</v>
      </c>
      <c r="E911">
        <v>71108</v>
      </c>
      <c r="F911">
        <v>40048</v>
      </c>
      <c r="G911">
        <v>32248</v>
      </c>
      <c r="H911">
        <v>984192</v>
      </c>
      <c r="I911">
        <v>535928</v>
      </c>
      <c r="J911">
        <v>448264</v>
      </c>
    </row>
    <row r="912" spans="1:10" x14ac:dyDescent="0.25">
      <c r="A912" s="1">
        <v>44834</v>
      </c>
      <c r="B912" t="s">
        <v>13</v>
      </c>
      <c r="C912" t="s">
        <v>16</v>
      </c>
      <c r="D912">
        <v>102610</v>
      </c>
      <c r="E912">
        <v>137603</v>
      </c>
      <c r="F912">
        <v>-34993</v>
      </c>
      <c r="G912">
        <v>-41097</v>
      </c>
      <c r="H912">
        <v>472872</v>
      </c>
      <c r="I912">
        <v>457246</v>
      </c>
      <c r="J912">
        <v>15626</v>
      </c>
    </row>
    <row r="913" spans="1:10" x14ac:dyDescent="0.25">
      <c r="A913" s="1">
        <v>44834</v>
      </c>
      <c r="B913" t="s">
        <v>13</v>
      </c>
      <c r="C913" t="s">
        <v>17</v>
      </c>
      <c r="D913">
        <v>195319</v>
      </c>
      <c r="E913">
        <v>80583</v>
      </c>
      <c r="F913">
        <v>114736</v>
      </c>
      <c r="G913">
        <v>105882</v>
      </c>
      <c r="H913">
        <v>588518</v>
      </c>
      <c r="I913">
        <v>298522</v>
      </c>
      <c r="J913">
        <v>289996</v>
      </c>
    </row>
    <row r="914" spans="1:10" x14ac:dyDescent="0.25">
      <c r="A914" s="1">
        <v>44865</v>
      </c>
      <c r="B914" t="s">
        <v>10</v>
      </c>
      <c r="C914" t="s">
        <v>14</v>
      </c>
      <c r="D914">
        <v>189285</v>
      </c>
      <c r="E914">
        <v>79456</v>
      </c>
      <c r="F914">
        <v>109829</v>
      </c>
      <c r="G914">
        <v>95631</v>
      </c>
      <c r="H914">
        <v>265942</v>
      </c>
      <c r="I914">
        <v>637977</v>
      </c>
      <c r="J914">
        <v>-372035</v>
      </c>
    </row>
    <row r="915" spans="1:10" x14ac:dyDescent="0.25">
      <c r="A915" s="1">
        <v>44865</v>
      </c>
      <c r="B915" t="s">
        <v>10</v>
      </c>
      <c r="C915" t="s">
        <v>15</v>
      </c>
      <c r="D915">
        <v>132934</v>
      </c>
      <c r="E915">
        <v>93276</v>
      </c>
      <c r="F915">
        <v>39658</v>
      </c>
      <c r="G915">
        <v>32997</v>
      </c>
      <c r="H915">
        <v>722552</v>
      </c>
      <c r="I915">
        <v>726256</v>
      </c>
      <c r="J915">
        <v>-3704</v>
      </c>
    </row>
    <row r="916" spans="1:10" x14ac:dyDescent="0.25">
      <c r="A916" s="1">
        <v>44865</v>
      </c>
      <c r="B916" t="s">
        <v>10</v>
      </c>
      <c r="C916" t="s">
        <v>16</v>
      </c>
      <c r="D916">
        <v>119873</v>
      </c>
      <c r="E916">
        <v>73050</v>
      </c>
      <c r="F916">
        <v>46823</v>
      </c>
      <c r="G916">
        <v>41143</v>
      </c>
      <c r="H916">
        <v>939804</v>
      </c>
      <c r="I916">
        <v>446184</v>
      </c>
      <c r="J916">
        <v>493620</v>
      </c>
    </row>
    <row r="917" spans="1:10" x14ac:dyDescent="0.25">
      <c r="A917" s="1">
        <v>44865</v>
      </c>
      <c r="B917" t="s">
        <v>10</v>
      </c>
      <c r="C917" t="s">
        <v>17</v>
      </c>
      <c r="D917">
        <v>121644</v>
      </c>
      <c r="E917">
        <v>122021</v>
      </c>
      <c r="F917">
        <v>-377</v>
      </c>
      <c r="G917">
        <v>-9734</v>
      </c>
      <c r="H917">
        <v>660115</v>
      </c>
      <c r="I917">
        <v>142291</v>
      </c>
      <c r="J917">
        <v>517824</v>
      </c>
    </row>
    <row r="918" spans="1:10" x14ac:dyDescent="0.25">
      <c r="A918" s="1">
        <v>44865</v>
      </c>
      <c r="B918" t="s">
        <v>11</v>
      </c>
      <c r="C918" t="s">
        <v>14</v>
      </c>
      <c r="D918">
        <v>135060</v>
      </c>
      <c r="E918">
        <v>61538</v>
      </c>
      <c r="F918">
        <v>73522</v>
      </c>
      <c r="G918">
        <v>65114</v>
      </c>
      <c r="H918">
        <v>503664</v>
      </c>
      <c r="I918">
        <v>125675</v>
      </c>
      <c r="J918">
        <v>377989</v>
      </c>
    </row>
    <row r="919" spans="1:10" x14ac:dyDescent="0.25">
      <c r="A919" s="1">
        <v>44865</v>
      </c>
      <c r="B919" t="s">
        <v>11</v>
      </c>
      <c r="C919" t="s">
        <v>15</v>
      </c>
      <c r="D919">
        <v>118287</v>
      </c>
      <c r="E919">
        <v>60174</v>
      </c>
      <c r="F919">
        <v>58113</v>
      </c>
      <c r="G919">
        <v>42765</v>
      </c>
      <c r="H919">
        <v>497142</v>
      </c>
      <c r="I919">
        <v>729698</v>
      </c>
      <c r="J919">
        <v>-232556</v>
      </c>
    </row>
    <row r="920" spans="1:10" x14ac:dyDescent="0.25">
      <c r="A920" s="1">
        <v>44865</v>
      </c>
      <c r="B920" t="s">
        <v>11</v>
      </c>
      <c r="C920" t="s">
        <v>16</v>
      </c>
      <c r="D920">
        <v>175225</v>
      </c>
      <c r="E920">
        <v>104814</v>
      </c>
      <c r="F920">
        <v>70411</v>
      </c>
      <c r="G920">
        <v>62240</v>
      </c>
      <c r="H920">
        <v>512863</v>
      </c>
      <c r="I920">
        <v>229887</v>
      </c>
      <c r="J920">
        <v>282976</v>
      </c>
    </row>
    <row r="921" spans="1:10" x14ac:dyDescent="0.25">
      <c r="A921" s="1">
        <v>44865</v>
      </c>
      <c r="B921" t="s">
        <v>11</v>
      </c>
      <c r="C921" t="s">
        <v>17</v>
      </c>
      <c r="D921">
        <v>133919</v>
      </c>
      <c r="E921">
        <v>133155</v>
      </c>
      <c r="F921">
        <v>764</v>
      </c>
      <c r="G921">
        <v>-10269</v>
      </c>
      <c r="H921">
        <v>401554</v>
      </c>
      <c r="I921">
        <v>658963</v>
      </c>
      <c r="J921">
        <v>-257409</v>
      </c>
    </row>
    <row r="922" spans="1:10" x14ac:dyDescent="0.25">
      <c r="A922" s="1">
        <v>44865</v>
      </c>
      <c r="B922" t="s">
        <v>12</v>
      </c>
      <c r="C922" t="s">
        <v>14</v>
      </c>
      <c r="D922">
        <v>118919</v>
      </c>
      <c r="E922">
        <v>64173</v>
      </c>
      <c r="F922">
        <v>54746</v>
      </c>
      <c r="G922">
        <v>38681</v>
      </c>
      <c r="H922">
        <v>381517</v>
      </c>
      <c r="I922">
        <v>170305</v>
      </c>
      <c r="J922">
        <v>211212</v>
      </c>
    </row>
    <row r="923" spans="1:10" x14ac:dyDescent="0.25">
      <c r="A923" s="1">
        <v>44865</v>
      </c>
      <c r="B923" t="s">
        <v>12</v>
      </c>
      <c r="C923" t="s">
        <v>15</v>
      </c>
      <c r="D923">
        <v>137564</v>
      </c>
      <c r="E923">
        <v>105814</v>
      </c>
      <c r="F923">
        <v>31750</v>
      </c>
      <c r="G923">
        <v>12539</v>
      </c>
      <c r="H923">
        <v>813079</v>
      </c>
      <c r="I923">
        <v>259034</v>
      </c>
      <c r="J923">
        <v>554045</v>
      </c>
    </row>
    <row r="924" spans="1:10" x14ac:dyDescent="0.25">
      <c r="A924" s="1">
        <v>44865</v>
      </c>
      <c r="B924" t="s">
        <v>12</v>
      </c>
      <c r="C924" t="s">
        <v>16</v>
      </c>
      <c r="D924">
        <v>184892</v>
      </c>
      <c r="E924">
        <v>145842</v>
      </c>
      <c r="F924">
        <v>39050</v>
      </c>
      <c r="G924">
        <v>29053</v>
      </c>
      <c r="H924">
        <v>387256</v>
      </c>
      <c r="I924">
        <v>576128</v>
      </c>
      <c r="J924">
        <v>-188872</v>
      </c>
    </row>
    <row r="925" spans="1:10" x14ac:dyDescent="0.25">
      <c r="A925" s="1">
        <v>44865</v>
      </c>
      <c r="B925" t="s">
        <v>12</v>
      </c>
      <c r="C925" t="s">
        <v>17</v>
      </c>
      <c r="D925">
        <v>110578</v>
      </c>
      <c r="E925">
        <v>78624</v>
      </c>
      <c r="F925">
        <v>31954</v>
      </c>
      <c r="G925">
        <v>25478</v>
      </c>
      <c r="H925">
        <v>572047</v>
      </c>
      <c r="I925">
        <v>493605</v>
      </c>
      <c r="J925">
        <v>78442</v>
      </c>
    </row>
    <row r="926" spans="1:10" x14ac:dyDescent="0.25">
      <c r="A926" s="1">
        <v>44865</v>
      </c>
      <c r="B926" t="s">
        <v>13</v>
      </c>
      <c r="C926" t="s">
        <v>14</v>
      </c>
      <c r="D926">
        <v>199303</v>
      </c>
      <c r="E926">
        <v>127391</v>
      </c>
      <c r="F926">
        <v>71912</v>
      </c>
      <c r="G926">
        <v>58787</v>
      </c>
      <c r="H926">
        <v>520146</v>
      </c>
      <c r="I926">
        <v>397675</v>
      </c>
      <c r="J926">
        <v>122471</v>
      </c>
    </row>
    <row r="927" spans="1:10" x14ac:dyDescent="0.25">
      <c r="A927" s="1">
        <v>44865</v>
      </c>
      <c r="B927" t="s">
        <v>13</v>
      </c>
      <c r="C927" t="s">
        <v>15</v>
      </c>
      <c r="D927">
        <v>152815</v>
      </c>
      <c r="E927">
        <v>64986</v>
      </c>
      <c r="F927">
        <v>87829</v>
      </c>
      <c r="G927">
        <v>81348</v>
      </c>
      <c r="H927">
        <v>400339</v>
      </c>
      <c r="I927">
        <v>746238</v>
      </c>
      <c r="J927">
        <v>-345899</v>
      </c>
    </row>
    <row r="928" spans="1:10" x14ac:dyDescent="0.25">
      <c r="A928" s="1">
        <v>44865</v>
      </c>
      <c r="B928" t="s">
        <v>13</v>
      </c>
      <c r="C928" t="s">
        <v>16</v>
      </c>
      <c r="D928">
        <v>116835</v>
      </c>
      <c r="E928">
        <v>87798</v>
      </c>
      <c r="F928">
        <v>29037</v>
      </c>
      <c r="G928">
        <v>14308</v>
      </c>
      <c r="H928">
        <v>527031</v>
      </c>
      <c r="I928">
        <v>119477</v>
      </c>
      <c r="J928">
        <v>407554</v>
      </c>
    </row>
    <row r="929" spans="1:10" x14ac:dyDescent="0.25">
      <c r="A929" s="1">
        <v>44865</v>
      </c>
      <c r="B929" t="s">
        <v>13</v>
      </c>
      <c r="C929" t="s">
        <v>17</v>
      </c>
      <c r="D929">
        <v>117266</v>
      </c>
      <c r="E929">
        <v>146328</v>
      </c>
      <c r="F929">
        <v>-29062</v>
      </c>
      <c r="G929">
        <v>-38130</v>
      </c>
      <c r="H929">
        <v>589959</v>
      </c>
      <c r="I929">
        <v>611181</v>
      </c>
      <c r="J929">
        <v>-21222</v>
      </c>
    </row>
    <row r="930" spans="1:10" x14ac:dyDescent="0.25">
      <c r="A930" s="1">
        <v>44895</v>
      </c>
      <c r="B930" t="s">
        <v>10</v>
      </c>
      <c r="C930" t="s">
        <v>14</v>
      </c>
      <c r="D930">
        <v>111889</v>
      </c>
      <c r="E930">
        <v>84335</v>
      </c>
      <c r="F930">
        <v>27554</v>
      </c>
      <c r="G930">
        <v>11300</v>
      </c>
      <c r="H930">
        <v>548754</v>
      </c>
      <c r="I930">
        <v>373586</v>
      </c>
      <c r="J930">
        <v>175168</v>
      </c>
    </row>
    <row r="931" spans="1:10" x14ac:dyDescent="0.25">
      <c r="A931" s="1">
        <v>44895</v>
      </c>
      <c r="B931" t="s">
        <v>10</v>
      </c>
      <c r="C931" t="s">
        <v>15</v>
      </c>
      <c r="D931">
        <v>146289</v>
      </c>
      <c r="E931">
        <v>113747</v>
      </c>
      <c r="F931">
        <v>32542</v>
      </c>
      <c r="G931">
        <v>22983</v>
      </c>
      <c r="H931">
        <v>534971</v>
      </c>
      <c r="I931">
        <v>730752</v>
      </c>
      <c r="J931">
        <v>-195781</v>
      </c>
    </row>
    <row r="932" spans="1:10" x14ac:dyDescent="0.25">
      <c r="A932" s="1">
        <v>44895</v>
      </c>
      <c r="B932" t="s">
        <v>10</v>
      </c>
      <c r="C932" t="s">
        <v>16</v>
      </c>
      <c r="D932">
        <v>100112</v>
      </c>
      <c r="E932">
        <v>147051</v>
      </c>
      <c r="F932">
        <v>-46939</v>
      </c>
      <c r="G932">
        <v>-55136</v>
      </c>
      <c r="H932">
        <v>445300</v>
      </c>
      <c r="I932">
        <v>684010</v>
      </c>
      <c r="J932">
        <v>-238710</v>
      </c>
    </row>
    <row r="933" spans="1:10" x14ac:dyDescent="0.25">
      <c r="A933" s="1">
        <v>44895</v>
      </c>
      <c r="B933" t="s">
        <v>10</v>
      </c>
      <c r="C933" t="s">
        <v>17</v>
      </c>
      <c r="D933">
        <v>192036</v>
      </c>
      <c r="E933">
        <v>157562</v>
      </c>
      <c r="F933">
        <v>34474</v>
      </c>
      <c r="G933">
        <v>29335</v>
      </c>
      <c r="H933">
        <v>972997</v>
      </c>
      <c r="I933">
        <v>381696</v>
      </c>
      <c r="J933">
        <v>591301</v>
      </c>
    </row>
    <row r="934" spans="1:10" x14ac:dyDescent="0.25">
      <c r="A934" s="1">
        <v>44895</v>
      </c>
      <c r="B934" t="s">
        <v>11</v>
      </c>
      <c r="C934" t="s">
        <v>14</v>
      </c>
      <c r="D934">
        <v>110808</v>
      </c>
      <c r="E934">
        <v>132525</v>
      </c>
      <c r="F934">
        <v>-21717</v>
      </c>
      <c r="G934">
        <v>-33953</v>
      </c>
      <c r="H934">
        <v>463031</v>
      </c>
      <c r="I934">
        <v>393946</v>
      </c>
      <c r="J934">
        <v>69085</v>
      </c>
    </row>
    <row r="935" spans="1:10" x14ac:dyDescent="0.25">
      <c r="A935" s="1">
        <v>44895</v>
      </c>
      <c r="B935" t="s">
        <v>11</v>
      </c>
      <c r="C935" t="s">
        <v>15</v>
      </c>
      <c r="D935">
        <v>185024</v>
      </c>
      <c r="E935">
        <v>155549</v>
      </c>
      <c r="F935">
        <v>29475</v>
      </c>
      <c r="G935">
        <v>24426</v>
      </c>
      <c r="H935">
        <v>842927</v>
      </c>
      <c r="I935">
        <v>706226</v>
      </c>
      <c r="J935">
        <v>136701</v>
      </c>
    </row>
    <row r="936" spans="1:10" x14ac:dyDescent="0.25">
      <c r="A936" s="1">
        <v>44895</v>
      </c>
      <c r="B936" t="s">
        <v>11</v>
      </c>
      <c r="C936" t="s">
        <v>16</v>
      </c>
      <c r="D936">
        <v>186741</v>
      </c>
      <c r="E936">
        <v>86049</v>
      </c>
      <c r="F936">
        <v>100692</v>
      </c>
      <c r="G936">
        <v>83439</v>
      </c>
      <c r="H936">
        <v>808814</v>
      </c>
      <c r="I936">
        <v>501062</v>
      </c>
      <c r="J936">
        <v>307752</v>
      </c>
    </row>
    <row r="937" spans="1:10" x14ac:dyDescent="0.25">
      <c r="A937" s="1">
        <v>44895</v>
      </c>
      <c r="B937" t="s">
        <v>11</v>
      </c>
      <c r="C937" t="s">
        <v>17</v>
      </c>
      <c r="D937">
        <v>190563</v>
      </c>
      <c r="E937">
        <v>106220</v>
      </c>
      <c r="F937">
        <v>84343</v>
      </c>
      <c r="G937">
        <v>65948</v>
      </c>
      <c r="H937">
        <v>596981</v>
      </c>
      <c r="I937">
        <v>479270</v>
      </c>
      <c r="J937">
        <v>117711</v>
      </c>
    </row>
    <row r="938" spans="1:10" x14ac:dyDescent="0.25">
      <c r="A938" s="1">
        <v>44895</v>
      </c>
      <c r="B938" t="s">
        <v>12</v>
      </c>
      <c r="C938" t="s">
        <v>14</v>
      </c>
      <c r="D938">
        <v>181486</v>
      </c>
      <c r="E938">
        <v>105270</v>
      </c>
      <c r="F938">
        <v>76216</v>
      </c>
      <c r="G938">
        <v>61475</v>
      </c>
      <c r="H938">
        <v>719570</v>
      </c>
      <c r="I938">
        <v>583455</v>
      </c>
      <c r="J938">
        <v>136115</v>
      </c>
    </row>
    <row r="939" spans="1:10" x14ac:dyDescent="0.25">
      <c r="A939" s="1">
        <v>44895</v>
      </c>
      <c r="B939" t="s">
        <v>12</v>
      </c>
      <c r="C939" t="s">
        <v>15</v>
      </c>
      <c r="D939">
        <v>122931</v>
      </c>
      <c r="E939">
        <v>149116</v>
      </c>
      <c r="F939">
        <v>-26185</v>
      </c>
      <c r="G939">
        <v>-37096</v>
      </c>
      <c r="H939">
        <v>673918</v>
      </c>
      <c r="I939">
        <v>676201</v>
      </c>
      <c r="J939">
        <v>-2283</v>
      </c>
    </row>
    <row r="940" spans="1:10" x14ac:dyDescent="0.25">
      <c r="A940" s="1">
        <v>44895</v>
      </c>
      <c r="B940" t="s">
        <v>12</v>
      </c>
      <c r="C940" t="s">
        <v>16</v>
      </c>
      <c r="D940">
        <v>194776</v>
      </c>
      <c r="E940">
        <v>85991</v>
      </c>
      <c r="F940">
        <v>108785</v>
      </c>
      <c r="G940">
        <v>97424</v>
      </c>
      <c r="H940">
        <v>910205</v>
      </c>
      <c r="I940">
        <v>728380</v>
      </c>
      <c r="J940">
        <v>181825</v>
      </c>
    </row>
    <row r="941" spans="1:10" x14ac:dyDescent="0.25">
      <c r="A941" s="1">
        <v>44895</v>
      </c>
      <c r="B941" t="s">
        <v>12</v>
      </c>
      <c r="C941" t="s">
        <v>17</v>
      </c>
      <c r="D941">
        <v>198505</v>
      </c>
      <c r="E941">
        <v>115312</v>
      </c>
      <c r="F941">
        <v>83193</v>
      </c>
      <c r="G941">
        <v>67632</v>
      </c>
      <c r="H941">
        <v>961401</v>
      </c>
      <c r="I941">
        <v>195556</v>
      </c>
      <c r="J941">
        <v>765845</v>
      </c>
    </row>
    <row r="942" spans="1:10" x14ac:dyDescent="0.25">
      <c r="A942" s="1">
        <v>44895</v>
      </c>
      <c r="B942" t="s">
        <v>13</v>
      </c>
      <c r="C942" t="s">
        <v>14</v>
      </c>
      <c r="D942">
        <v>162875</v>
      </c>
      <c r="E942">
        <v>85917</v>
      </c>
      <c r="F942">
        <v>76958</v>
      </c>
      <c r="G942">
        <v>58990</v>
      </c>
      <c r="H942">
        <v>595204</v>
      </c>
      <c r="I942">
        <v>606961</v>
      </c>
      <c r="J942">
        <v>-11757</v>
      </c>
    </row>
    <row r="943" spans="1:10" x14ac:dyDescent="0.25">
      <c r="A943" s="1">
        <v>44895</v>
      </c>
      <c r="B943" t="s">
        <v>13</v>
      </c>
      <c r="C943" t="s">
        <v>15</v>
      </c>
      <c r="D943">
        <v>114256</v>
      </c>
      <c r="E943">
        <v>147728</v>
      </c>
      <c r="F943">
        <v>-33472</v>
      </c>
      <c r="G943">
        <v>-49939</v>
      </c>
      <c r="H943">
        <v>490374</v>
      </c>
      <c r="I943">
        <v>598682</v>
      </c>
      <c r="J943">
        <v>-108308</v>
      </c>
    </row>
    <row r="944" spans="1:10" x14ac:dyDescent="0.25">
      <c r="A944" s="1">
        <v>44895</v>
      </c>
      <c r="B944" t="s">
        <v>13</v>
      </c>
      <c r="C944" t="s">
        <v>16</v>
      </c>
      <c r="D944">
        <v>159778</v>
      </c>
      <c r="E944">
        <v>105833</v>
      </c>
      <c r="F944">
        <v>53945</v>
      </c>
      <c r="G944">
        <v>42704</v>
      </c>
      <c r="H944">
        <v>756376</v>
      </c>
      <c r="I944">
        <v>466081</v>
      </c>
      <c r="J944">
        <v>290295</v>
      </c>
    </row>
    <row r="945" spans="1:10" x14ac:dyDescent="0.25">
      <c r="A945" s="1">
        <v>44895</v>
      </c>
      <c r="B945" t="s">
        <v>13</v>
      </c>
      <c r="C945" t="s">
        <v>17</v>
      </c>
      <c r="D945">
        <v>171291</v>
      </c>
      <c r="E945">
        <v>125303</v>
      </c>
      <c r="F945">
        <v>45988</v>
      </c>
      <c r="G945">
        <v>30163</v>
      </c>
      <c r="H945">
        <v>550373</v>
      </c>
      <c r="I945">
        <v>235189</v>
      </c>
      <c r="J945">
        <v>315184</v>
      </c>
    </row>
    <row r="946" spans="1:10" x14ac:dyDescent="0.25">
      <c r="A946" s="1">
        <v>44926</v>
      </c>
      <c r="B946" t="s">
        <v>10</v>
      </c>
      <c r="C946" t="s">
        <v>14</v>
      </c>
      <c r="D946">
        <v>190265</v>
      </c>
      <c r="E946">
        <v>157718</v>
      </c>
      <c r="F946">
        <v>32547</v>
      </c>
      <c r="G946">
        <v>15989</v>
      </c>
      <c r="H946">
        <v>819164</v>
      </c>
      <c r="I946">
        <v>130949</v>
      </c>
      <c r="J946">
        <v>688215</v>
      </c>
    </row>
    <row r="947" spans="1:10" x14ac:dyDescent="0.25">
      <c r="A947" s="1">
        <v>44926</v>
      </c>
      <c r="B947" t="s">
        <v>10</v>
      </c>
      <c r="C947" t="s">
        <v>15</v>
      </c>
      <c r="D947">
        <v>122547</v>
      </c>
      <c r="E947">
        <v>141882</v>
      </c>
      <c r="F947">
        <v>-19335</v>
      </c>
      <c r="G947">
        <v>-26935</v>
      </c>
      <c r="H947">
        <v>311541</v>
      </c>
      <c r="I947">
        <v>161842</v>
      </c>
      <c r="J947">
        <v>149699</v>
      </c>
    </row>
    <row r="948" spans="1:10" x14ac:dyDescent="0.25">
      <c r="A948" s="1">
        <v>44926</v>
      </c>
      <c r="B948" t="s">
        <v>10</v>
      </c>
      <c r="C948" t="s">
        <v>16</v>
      </c>
      <c r="D948">
        <v>194803</v>
      </c>
      <c r="E948">
        <v>86990</v>
      </c>
      <c r="F948">
        <v>107813</v>
      </c>
      <c r="G948">
        <v>89088</v>
      </c>
      <c r="H948">
        <v>330356</v>
      </c>
      <c r="I948">
        <v>789870</v>
      </c>
      <c r="J948">
        <v>-459514</v>
      </c>
    </row>
    <row r="949" spans="1:10" x14ac:dyDescent="0.25">
      <c r="A949" s="1">
        <v>44926</v>
      </c>
      <c r="B949" t="s">
        <v>10</v>
      </c>
      <c r="C949" t="s">
        <v>17</v>
      </c>
      <c r="D949">
        <v>101306</v>
      </c>
      <c r="E949">
        <v>63849</v>
      </c>
      <c r="F949">
        <v>37457</v>
      </c>
      <c r="G949">
        <v>20097</v>
      </c>
      <c r="H949">
        <v>573216</v>
      </c>
      <c r="I949">
        <v>719055</v>
      </c>
      <c r="J949">
        <v>-145839</v>
      </c>
    </row>
    <row r="950" spans="1:10" x14ac:dyDescent="0.25">
      <c r="A950" s="1">
        <v>44926</v>
      </c>
      <c r="B950" t="s">
        <v>11</v>
      </c>
      <c r="C950" t="s">
        <v>14</v>
      </c>
      <c r="D950">
        <v>145800</v>
      </c>
      <c r="E950">
        <v>96963</v>
      </c>
      <c r="F950">
        <v>48837</v>
      </c>
      <c r="G950">
        <v>38659</v>
      </c>
      <c r="H950">
        <v>251707</v>
      </c>
      <c r="I950">
        <v>380833</v>
      </c>
      <c r="J950">
        <v>-129126</v>
      </c>
    </row>
    <row r="951" spans="1:10" x14ac:dyDescent="0.25">
      <c r="A951" s="1">
        <v>44926</v>
      </c>
      <c r="B951" t="s">
        <v>11</v>
      </c>
      <c r="C951" t="s">
        <v>15</v>
      </c>
      <c r="D951">
        <v>129084</v>
      </c>
      <c r="E951">
        <v>100387</v>
      </c>
      <c r="F951">
        <v>28697</v>
      </c>
      <c r="G951">
        <v>14417</v>
      </c>
      <c r="H951">
        <v>726930</v>
      </c>
      <c r="I951">
        <v>573048</v>
      </c>
      <c r="J951">
        <v>153882</v>
      </c>
    </row>
    <row r="952" spans="1:10" x14ac:dyDescent="0.25">
      <c r="A952" s="1">
        <v>44926</v>
      </c>
      <c r="B952" t="s">
        <v>11</v>
      </c>
      <c r="C952" t="s">
        <v>16</v>
      </c>
      <c r="D952">
        <v>155561</v>
      </c>
      <c r="E952">
        <v>122260</v>
      </c>
      <c r="F952">
        <v>33301</v>
      </c>
      <c r="G952">
        <v>23544</v>
      </c>
      <c r="H952">
        <v>596210</v>
      </c>
      <c r="I952">
        <v>487988</v>
      </c>
      <c r="J952">
        <v>108222</v>
      </c>
    </row>
    <row r="953" spans="1:10" x14ac:dyDescent="0.25">
      <c r="A953" s="1">
        <v>44926</v>
      </c>
      <c r="B953" t="s">
        <v>11</v>
      </c>
      <c r="C953" t="s">
        <v>17</v>
      </c>
      <c r="D953">
        <v>199575</v>
      </c>
      <c r="E953">
        <v>61813</v>
      </c>
      <c r="F953">
        <v>137762</v>
      </c>
      <c r="G953">
        <v>121655</v>
      </c>
      <c r="H953">
        <v>284381</v>
      </c>
      <c r="I953">
        <v>293984</v>
      </c>
      <c r="J953">
        <v>-9603</v>
      </c>
    </row>
    <row r="954" spans="1:10" x14ac:dyDescent="0.25">
      <c r="A954" s="1">
        <v>44926</v>
      </c>
      <c r="B954" t="s">
        <v>12</v>
      </c>
      <c r="C954" t="s">
        <v>14</v>
      </c>
      <c r="D954">
        <v>160272</v>
      </c>
      <c r="E954">
        <v>102051</v>
      </c>
      <c r="F954">
        <v>58221</v>
      </c>
      <c r="G954">
        <v>39903</v>
      </c>
      <c r="H954">
        <v>938096</v>
      </c>
      <c r="I954">
        <v>353091</v>
      </c>
      <c r="J954">
        <v>585005</v>
      </c>
    </row>
    <row r="955" spans="1:10" x14ac:dyDescent="0.25">
      <c r="A955" s="1">
        <v>44926</v>
      </c>
      <c r="B955" t="s">
        <v>12</v>
      </c>
      <c r="C955" t="s">
        <v>15</v>
      </c>
      <c r="D955">
        <v>165618</v>
      </c>
      <c r="E955">
        <v>61920</v>
      </c>
      <c r="F955">
        <v>103698</v>
      </c>
      <c r="G955">
        <v>90881</v>
      </c>
      <c r="H955">
        <v>670435</v>
      </c>
      <c r="I955">
        <v>701160</v>
      </c>
      <c r="J955">
        <v>-30725</v>
      </c>
    </row>
    <row r="956" spans="1:10" x14ac:dyDescent="0.25">
      <c r="A956" s="1">
        <v>44926</v>
      </c>
      <c r="B956" t="s">
        <v>12</v>
      </c>
      <c r="C956" t="s">
        <v>16</v>
      </c>
      <c r="D956">
        <v>181132</v>
      </c>
      <c r="E956">
        <v>62093</v>
      </c>
      <c r="F956">
        <v>119039</v>
      </c>
      <c r="G956">
        <v>101134</v>
      </c>
      <c r="H956">
        <v>846047</v>
      </c>
      <c r="I956">
        <v>517567</v>
      </c>
      <c r="J956">
        <v>328480</v>
      </c>
    </row>
    <row r="957" spans="1:10" x14ac:dyDescent="0.25">
      <c r="A957" s="1">
        <v>44926</v>
      </c>
      <c r="B957" t="s">
        <v>12</v>
      </c>
      <c r="C957" t="s">
        <v>17</v>
      </c>
      <c r="D957">
        <v>130981</v>
      </c>
      <c r="E957">
        <v>133903</v>
      </c>
      <c r="F957">
        <v>-2922</v>
      </c>
      <c r="G957">
        <v>-13207</v>
      </c>
      <c r="H957">
        <v>571344</v>
      </c>
      <c r="I957">
        <v>182289</v>
      </c>
      <c r="J957">
        <v>389055</v>
      </c>
    </row>
    <row r="958" spans="1:10" x14ac:dyDescent="0.25">
      <c r="A958" s="1">
        <v>44926</v>
      </c>
      <c r="B958" t="s">
        <v>13</v>
      </c>
      <c r="C958" t="s">
        <v>14</v>
      </c>
      <c r="D958">
        <v>184021</v>
      </c>
      <c r="E958">
        <v>138513</v>
      </c>
      <c r="F958">
        <v>45508</v>
      </c>
      <c r="G958">
        <v>37018</v>
      </c>
      <c r="H958">
        <v>906291</v>
      </c>
      <c r="I958">
        <v>500890</v>
      </c>
      <c r="J958">
        <v>405401</v>
      </c>
    </row>
    <row r="959" spans="1:10" x14ac:dyDescent="0.25">
      <c r="A959" s="1">
        <v>44926</v>
      </c>
      <c r="B959" t="s">
        <v>13</v>
      </c>
      <c r="C959" t="s">
        <v>15</v>
      </c>
      <c r="D959">
        <v>150516</v>
      </c>
      <c r="E959">
        <v>154574</v>
      </c>
      <c r="F959">
        <v>-4058</v>
      </c>
      <c r="G959">
        <v>-20592</v>
      </c>
      <c r="H959">
        <v>688067</v>
      </c>
      <c r="I959">
        <v>431356</v>
      </c>
      <c r="J959">
        <v>256711</v>
      </c>
    </row>
    <row r="960" spans="1:10" x14ac:dyDescent="0.25">
      <c r="A960" s="1">
        <v>44926</v>
      </c>
      <c r="B960" t="s">
        <v>13</v>
      </c>
      <c r="C960" t="s">
        <v>16</v>
      </c>
      <c r="D960">
        <v>102426</v>
      </c>
      <c r="E960">
        <v>150009</v>
      </c>
      <c r="F960">
        <v>-47583</v>
      </c>
      <c r="G960">
        <v>-55545</v>
      </c>
      <c r="H960">
        <v>623159</v>
      </c>
      <c r="I960">
        <v>144816</v>
      </c>
      <c r="J960">
        <v>478343</v>
      </c>
    </row>
    <row r="961" spans="1:10" x14ac:dyDescent="0.25">
      <c r="A961" s="1">
        <v>44926</v>
      </c>
      <c r="B961" t="s">
        <v>13</v>
      </c>
      <c r="C961" t="s">
        <v>17</v>
      </c>
      <c r="D961">
        <v>104138</v>
      </c>
      <c r="E961">
        <v>151176</v>
      </c>
      <c r="F961">
        <v>-47038</v>
      </c>
      <c r="G961">
        <v>-62447</v>
      </c>
      <c r="H961">
        <v>990449</v>
      </c>
      <c r="I961">
        <v>456007</v>
      </c>
      <c r="J961">
        <v>534442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CCE74-C426-44F2-8C6B-647ABADB6568}">
  <dimension ref="A1:H85"/>
  <sheetViews>
    <sheetView workbookViewId="0">
      <selection activeCell="L12" sqref="L12"/>
    </sheetView>
  </sheetViews>
  <sheetFormatPr defaultRowHeight="15" x14ac:dyDescent="0.25"/>
  <cols>
    <col min="1" max="1" width="10.7109375" bestFit="1" customWidth="1"/>
    <col min="2" max="2" width="11" customWidth="1"/>
    <col min="3" max="3" width="19.85546875" customWidth="1"/>
    <col min="4" max="4" width="34.5703125" customWidth="1"/>
    <col min="5" max="5" width="34.7109375" customWidth="1"/>
    <col min="7" max="7" width="10.140625" customWidth="1"/>
    <col min="8" max="8" width="8.28515625" customWidth="1"/>
  </cols>
  <sheetData>
    <row r="1" spans="1:8" x14ac:dyDescent="0.25">
      <c r="A1" t="s">
        <v>0</v>
      </c>
      <c r="B1" t="s">
        <v>3</v>
      </c>
      <c r="C1" t="s">
        <v>32</v>
      </c>
      <c r="D1" t="s">
        <v>33</v>
      </c>
      <c r="E1" t="s">
        <v>34</v>
      </c>
      <c r="G1" t="s">
        <v>35</v>
      </c>
      <c r="H1" t="s">
        <v>36</v>
      </c>
    </row>
    <row r="2" spans="1:8" x14ac:dyDescent="0.25">
      <c r="A2" s="1">
        <v>43131</v>
      </c>
      <c r="B2">
        <v>145760.5</v>
      </c>
      <c r="G2" t="s">
        <v>37</v>
      </c>
      <c r="H2" s="7">
        <f>_xlfn.FORECAST.ETS.STAT($B$2:$B$61,$A$2:$A$61,1,12,1)</f>
        <v>0.126</v>
      </c>
    </row>
    <row r="3" spans="1:8" x14ac:dyDescent="0.25">
      <c r="A3" s="1">
        <v>43159</v>
      </c>
      <c r="B3">
        <v>144856.1875</v>
      </c>
      <c r="G3" t="s">
        <v>38</v>
      </c>
      <c r="H3" s="7">
        <f>_xlfn.FORECAST.ETS.STAT($B$2:$B$61,$A$2:$A$61,2,12,1)</f>
        <v>1E-3</v>
      </c>
    </row>
    <row r="4" spans="1:8" x14ac:dyDescent="0.25">
      <c r="A4" s="1">
        <v>43190</v>
      </c>
      <c r="B4">
        <v>151007.375</v>
      </c>
      <c r="G4" t="s">
        <v>39</v>
      </c>
      <c r="H4" s="7">
        <f>_xlfn.FORECAST.ETS.STAT($B$2:$B$61,$A$2:$A$61,3,12,1)</f>
        <v>1E-3</v>
      </c>
    </row>
    <row r="5" spans="1:8" x14ac:dyDescent="0.25">
      <c r="A5" s="1">
        <v>43220</v>
      </c>
      <c r="B5">
        <v>145354.1875</v>
      </c>
      <c r="G5" t="s">
        <v>40</v>
      </c>
      <c r="H5" s="7">
        <f>_xlfn.FORECAST.ETS.STAT($B$2:$B$61,$A$2:$A$61,4,12,1)</f>
        <v>0.63712709010839186</v>
      </c>
    </row>
    <row r="6" spans="1:8" x14ac:dyDescent="0.25">
      <c r="A6" s="1">
        <v>43251</v>
      </c>
      <c r="B6">
        <v>148541.875</v>
      </c>
      <c r="G6" t="s">
        <v>41</v>
      </c>
      <c r="H6" s="7">
        <f>_xlfn.FORECAST.ETS.STAT($B$2:$B$61,$A$2:$A$61,5,12,1)</f>
        <v>3.3366795993980597E-2</v>
      </c>
    </row>
    <row r="7" spans="1:8" x14ac:dyDescent="0.25">
      <c r="A7" s="1">
        <v>43281</v>
      </c>
      <c r="B7">
        <v>161393.6875</v>
      </c>
      <c r="G7" t="s">
        <v>42</v>
      </c>
      <c r="H7" s="7">
        <f>_xlfn.FORECAST.ETS.STAT($B$2:$B$61,$A$2:$A$61,6,12,1)</f>
        <v>5008.7393493517775</v>
      </c>
    </row>
    <row r="8" spans="1:8" x14ac:dyDescent="0.25">
      <c r="A8" s="1">
        <v>43312</v>
      </c>
      <c r="B8">
        <v>144529.9375</v>
      </c>
      <c r="G8" t="s">
        <v>43</v>
      </c>
      <c r="H8" s="7">
        <f>_xlfn.FORECAST.ETS.STAT($B$2:$B$61,$A$2:$A$61,7,12,1)</f>
        <v>6148.3523212276641</v>
      </c>
    </row>
    <row r="9" spans="1:8" x14ac:dyDescent="0.25">
      <c r="A9" s="1">
        <v>43343</v>
      </c>
      <c r="B9">
        <v>156329.1875</v>
      </c>
    </row>
    <row r="10" spans="1:8" x14ac:dyDescent="0.25">
      <c r="A10" s="1">
        <v>43373</v>
      </c>
      <c r="B10">
        <v>155779.375</v>
      </c>
    </row>
    <row r="11" spans="1:8" x14ac:dyDescent="0.25">
      <c r="A11" s="1">
        <v>43404</v>
      </c>
      <c r="B11">
        <v>140108</v>
      </c>
    </row>
    <row r="12" spans="1:8" x14ac:dyDescent="0.25">
      <c r="A12" s="1">
        <v>43434</v>
      </c>
      <c r="B12">
        <v>145283.875</v>
      </c>
    </row>
    <row r="13" spans="1:8" x14ac:dyDescent="0.25">
      <c r="A13" s="1">
        <v>43465</v>
      </c>
      <c r="B13">
        <v>145638.4375</v>
      </c>
    </row>
    <row r="14" spans="1:8" x14ac:dyDescent="0.25">
      <c r="A14" s="1">
        <v>43496</v>
      </c>
      <c r="B14">
        <v>139543.8125</v>
      </c>
    </row>
    <row r="15" spans="1:8" x14ac:dyDescent="0.25">
      <c r="A15" s="1">
        <v>43524</v>
      </c>
      <c r="B15">
        <v>146159.0625</v>
      </c>
    </row>
    <row r="16" spans="1:8" x14ac:dyDescent="0.25">
      <c r="A16" s="1">
        <v>43555</v>
      </c>
      <c r="B16">
        <v>121933.1875</v>
      </c>
    </row>
    <row r="17" spans="1:2" x14ac:dyDescent="0.25">
      <c r="A17" s="1">
        <v>43585</v>
      </c>
      <c r="B17">
        <v>139917</v>
      </c>
    </row>
    <row r="18" spans="1:2" x14ac:dyDescent="0.25">
      <c r="A18" s="1">
        <v>43616</v>
      </c>
      <c r="B18">
        <v>142483.8125</v>
      </c>
    </row>
    <row r="19" spans="1:2" x14ac:dyDescent="0.25">
      <c r="A19" s="1">
        <v>43646</v>
      </c>
      <c r="B19">
        <v>151618.3125</v>
      </c>
    </row>
    <row r="20" spans="1:2" x14ac:dyDescent="0.25">
      <c r="A20" s="1">
        <v>43677</v>
      </c>
      <c r="B20">
        <v>158090.25</v>
      </c>
    </row>
    <row r="21" spans="1:2" x14ac:dyDescent="0.25">
      <c r="A21" s="1">
        <v>43708</v>
      </c>
      <c r="B21">
        <v>144944.75</v>
      </c>
    </row>
    <row r="22" spans="1:2" x14ac:dyDescent="0.25">
      <c r="A22" s="1">
        <v>43738</v>
      </c>
      <c r="B22">
        <v>145511.6875</v>
      </c>
    </row>
    <row r="23" spans="1:2" x14ac:dyDescent="0.25">
      <c r="A23" s="1">
        <v>43769</v>
      </c>
      <c r="B23">
        <v>134347.375</v>
      </c>
    </row>
    <row r="24" spans="1:2" x14ac:dyDescent="0.25">
      <c r="A24" s="1">
        <v>43799</v>
      </c>
      <c r="B24">
        <v>144222.5625</v>
      </c>
    </row>
    <row r="25" spans="1:2" x14ac:dyDescent="0.25">
      <c r="A25" s="1">
        <v>43830</v>
      </c>
      <c r="B25">
        <v>152590</v>
      </c>
    </row>
    <row r="26" spans="1:2" x14ac:dyDescent="0.25">
      <c r="A26" s="1">
        <v>43861</v>
      </c>
      <c r="B26">
        <v>141953.5625</v>
      </c>
    </row>
    <row r="27" spans="1:2" x14ac:dyDescent="0.25">
      <c r="A27" s="1">
        <v>43890</v>
      </c>
      <c r="B27">
        <v>135795.5</v>
      </c>
    </row>
    <row r="28" spans="1:2" x14ac:dyDescent="0.25">
      <c r="A28" s="1">
        <v>43921</v>
      </c>
      <c r="B28">
        <v>161840.8125</v>
      </c>
    </row>
    <row r="29" spans="1:2" x14ac:dyDescent="0.25">
      <c r="A29" s="1">
        <v>43951</v>
      </c>
      <c r="B29">
        <v>156126.8125</v>
      </c>
    </row>
    <row r="30" spans="1:2" x14ac:dyDescent="0.25">
      <c r="A30" s="1">
        <v>43982</v>
      </c>
      <c r="B30">
        <v>151692.375</v>
      </c>
    </row>
    <row r="31" spans="1:2" x14ac:dyDescent="0.25">
      <c r="A31" s="1">
        <v>44012</v>
      </c>
      <c r="B31">
        <v>144948.4375</v>
      </c>
    </row>
    <row r="32" spans="1:2" x14ac:dyDescent="0.25">
      <c r="A32" s="1">
        <v>44043</v>
      </c>
      <c r="B32">
        <v>156093.75</v>
      </c>
    </row>
    <row r="33" spans="1:2" x14ac:dyDescent="0.25">
      <c r="A33" s="1">
        <v>44074</v>
      </c>
      <c r="B33">
        <v>152779.3125</v>
      </c>
    </row>
    <row r="34" spans="1:2" x14ac:dyDescent="0.25">
      <c r="A34" s="1">
        <v>44104</v>
      </c>
      <c r="B34">
        <v>153072.5625</v>
      </c>
    </row>
    <row r="35" spans="1:2" x14ac:dyDescent="0.25">
      <c r="A35" s="1">
        <v>44135</v>
      </c>
      <c r="B35">
        <v>150138.125</v>
      </c>
    </row>
    <row r="36" spans="1:2" x14ac:dyDescent="0.25">
      <c r="A36" s="1">
        <v>44165</v>
      </c>
      <c r="B36">
        <v>149644.0625</v>
      </c>
    </row>
    <row r="37" spans="1:2" x14ac:dyDescent="0.25">
      <c r="A37" s="1">
        <v>44196</v>
      </c>
      <c r="B37">
        <v>147782.1875</v>
      </c>
    </row>
    <row r="38" spans="1:2" x14ac:dyDescent="0.25">
      <c r="A38" s="1">
        <v>44227</v>
      </c>
      <c r="B38">
        <v>146331.375</v>
      </c>
    </row>
    <row r="39" spans="1:2" x14ac:dyDescent="0.25">
      <c r="A39" s="1">
        <v>44255</v>
      </c>
      <c r="B39">
        <v>147644</v>
      </c>
    </row>
    <row r="40" spans="1:2" x14ac:dyDescent="0.25">
      <c r="A40" s="1">
        <v>44286</v>
      </c>
      <c r="B40">
        <v>133731.875</v>
      </c>
    </row>
    <row r="41" spans="1:2" x14ac:dyDescent="0.25">
      <c r="A41" s="1">
        <v>44316</v>
      </c>
      <c r="B41">
        <v>153380.5</v>
      </c>
    </row>
    <row r="42" spans="1:2" x14ac:dyDescent="0.25">
      <c r="A42" s="1">
        <v>44347</v>
      </c>
      <c r="B42">
        <v>141036.5625</v>
      </c>
    </row>
    <row r="43" spans="1:2" x14ac:dyDescent="0.25">
      <c r="A43" s="1">
        <v>44377</v>
      </c>
      <c r="B43">
        <v>147036.25</v>
      </c>
    </row>
    <row r="44" spans="1:2" x14ac:dyDescent="0.25">
      <c r="A44" s="1">
        <v>44408</v>
      </c>
      <c r="B44">
        <v>145631.375</v>
      </c>
    </row>
    <row r="45" spans="1:2" x14ac:dyDescent="0.25">
      <c r="A45" s="1">
        <v>44439</v>
      </c>
      <c r="B45">
        <v>160043.25</v>
      </c>
    </row>
    <row r="46" spans="1:2" x14ac:dyDescent="0.25">
      <c r="A46" s="1">
        <v>44469</v>
      </c>
      <c r="B46">
        <v>151777.4375</v>
      </c>
    </row>
    <row r="47" spans="1:2" x14ac:dyDescent="0.25">
      <c r="A47" s="1">
        <v>44500</v>
      </c>
      <c r="B47">
        <v>150023.875</v>
      </c>
    </row>
    <row r="48" spans="1:2" x14ac:dyDescent="0.25">
      <c r="A48" s="1">
        <v>44530</v>
      </c>
      <c r="B48">
        <v>162178.625</v>
      </c>
    </row>
    <row r="49" spans="1:5" x14ac:dyDescent="0.25">
      <c r="A49" s="1">
        <v>44561</v>
      </c>
      <c r="B49">
        <v>149916.625</v>
      </c>
    </row>
    <row r="50" spans="1:5" x14ac:dyDescent="0.25">
      <c r="A50" s="1">
        <v>44592</v>
      </c>
      <c r="B50">
        <v>149738.3125</v>
      </c>
    </row>
    <row r="51" spans="1:5" x14ac:dyDescent="0.25">
      <c r="A51" s="1">
        <v>44620</v>
      </c>
      <c r="B51">
        <v>146698</v>
      </c>
    </row>
    <row r="52" spans="1:5" x14ac:dyDescent="0.25">
      <c r="A52" s="1">
        <v>44651</v>
      </c>
      <c r="B52">
        <v>148689.1875</v>
      </c>
    </row>
    <row r="53" spans="1:5" x14ac:dyDescent="0.25">
      <c r="A53" s="1">
        <v>44681</v>
      </c>
      <c r="B53">
        <v>154685.8125</v>
      </c>
    </row>
    <row r="54" spans="1:5" x14ac:dyDescent="0.25">
      <c r="A54" s="1">
        <v>44712</v>
      </c>
      <c r="B54">
        <v>155831.5</v>
      </c>
    </row>
    <row r="55" spans="1:5" x14ac:dyDescent="0.25">
      <c r="A55" s="1">
        <v>44742</v>
      </c>
      <c r="B55">
        <v>152948.375</v>
      </c>
    </row>
    <row r="56" spans="1:5" x14ac:dyDescent="0.25">
      <c r="A56" s="1">
        <v>44773</v>
      </c>
      <c r="B56">
        <v>158976.75</v>
      </c>
    </row>
    <row r="57" spans="1:5" x14ac:dyDescent="0.25">
      <c r="A57" s="1">
        <v>44804</v>
      </c>
      <c r="B57">
        <v>147296.125</v>
      </c>
    </row>
    <row r="58" spans="1:5" x14ac:dyDescent="0.25">
      <c r="A58" s="1">
        <v>44834</v>
      </c>
      <c r="B58">
        <v>152039.375</v>
      </c>
    </row>
    <row r="59" spans="1:5" x14ac:dyDescent="0.25">
      <c r="A59" s="1">
        <v>44865</v>
      </c>
      <c r="B59">
        <v>141524.9375</v>
      </c>
    </row>
    <row r="60" spans="1:5" x14ac:dyDescent="0.25">
      <c r="A60" s="1">
        <v>44895</v>
      </c>
      <c r="B60">
        <v>158085</v>
      </c>
    </row>
    <row r="61" spans="1:5" x14ac:dyDescent="0.25">
      <c r="A61" s="1">
        <v>44926</v>
      </c>
      <c r="B61">
        <v>151127.8125</v>
      </c>
      <c r="C61">
        <v>151127.8125</v>
      </c>
      <c r="D61" s="5">
        <v>151127.8125</v>
      </c>
      <c r="E61" s="5">
        <v>151127.8125</v>
      </c>
    </row>
    <row r="62" spans="1:5" x14ac:dyDescent="0.25">
      <c r="A62" s="1">
        <v>44957</v>
      </c>
      <c r="C62">
        <f t="shared" ref="C62:C85" si="0">_xlfn.FORECAST.ETS(A62,$B$2:$B$61,$A$2:$A$61,12,1)</f>
        <v>146877.85466079568</v>
      </c>
      <c r="D62" s="5">
        <f t="shared" ref="D62:D85" si="1">C62-_xlfn.FORECAST.ETS.CONFINT(A62,$B$2:$B$61,$A$2:$A$61,0.95,12,1)</f>
        <v>133379.6941411435</v>
      </c>
      <c r="E62" s="5">
        <f t="shared" ref="E62:E85" si="2">C62+_xlfn.FORECAST.ETS.CONFINT(A62,$B$2:$B$61,$A$2:$A$61,0.95,12,1)</f>
        <v>160376.01518044787</v>
      </c>
    </row>
    <row r="63" spans="1:5" x14ac:dyDescent="0.25">
      <c r="A63" s="1">
        <v>44988</v>
      </c>
      <c r="C63">
        <f t="shared" si="0"/>
        <v>147445.80702237101</v>
      </c>
      <c r="D63" s="5">
        <f t="shared" si="1"/>
        <v>133839.2260169732</v>
      </c>
      <c r="E63" s="5">
        <f t="shared" si="2"/>
        <v>161052.38802776881</v>
      </c>
    </row>
    <row r="64" spans="1:5" x14ac:dyDescent="0.25">
      <c r="A64" s="1">
        <v>45016</v>
      </c>
      <c r="C64">
        <f t="shared" si="0"/>
        <v>143463.80202626143</v>
      </c>
      <c r="D64" s="5">
        <f t="shared" si="1"/>
        <v>129747.96384609002</v>
      </c>
      <c r="E64" s="5">
        <f t="shared" si="2"/>
        <v>157179.64020643284</v>
      </c>
    </row>
    <row r="65" spans="1:5" x14ac:dyDescent="0.25">
      <c r="A65" s="1">
        <v>45047</v>
      </c>
      <c r="C65">
        <f t="shared" si="0"/>
        <v>153911.72291744442</v>
      </c>
      <c r="D65" s="5">
        <f t="shared" si="1"/>
        <v>140085.79753070956</v>
      </c>
      <c r="E65" s="5">
        <f t="shared" si="2"/>
        <v>167737.64830417928</v>
      </c>
    </row>
    <row r="66" spans="1:5" x14ac:dyDescent="0.25">
      <c r="A66" s="1">
        <v>45077</v>
      </c>
      <c r="C66">
        <f t="shared" si="0"/>
        <v>148831.5048410882</v>
      </c>
      <c r="D66" s="5">
        <f t="shared" si="1"/>
        <v>134894.66881199391</v>
      </c>
      <c r="E66" s="5">
        <f t="shared" si="2"/>
        <v>162768.3408701825</v>
      </c>
    </row>
    <row r="67" spans="1:5" x14ac:dyDescent="0.25">
      <c r="A67" s="1">
        <v>45108</v>
      </c>
      <c r="C67">
        <f t="shared" si="0"/>
        <v>157809.63972046427</v>
      </c>
      <c r="D67" s="5">
        <f t="shared" si="1"/>
        <v>143761.07614648179</v>
      </c>
      <c r="E67" s="5">
        <f t="shared" si="2"/>
        <v>171858.20329444675</v>
      </c>
    </row>
    <row r="68" spans="1:5" x14ac:dyDescent="0.25">
      <c r="A68" s="1">
        <v>45138</v>
      </c>
      <c r="C68">
        <f t="shared" si="0"/>
        <v>157985.84078976233</v>
      </c>
      <c r="D68" s="5">
        <f t="shared" si="1"/>
        <v>143824.739237576</v>
      </c>
      <c r="E68" s="5">
        <f t="shared" si="2"/>
        <v>172146.94234194866</v>
      </c>
    </row>
    <row r="69" spans="1:5" x14ac:dyDescent="0.25">
      <c r="A69" s="1">
        <v>45169</v>
      </c>
      <c r="C69">
        <f t="shared" si="0"/>
        <v>156460.88540760518</v>
      </c>
      <c r="D69" s="5">
        <f t="shared" si="1"/>
        <v>142186.44184787734</v>
      </c>
      <c r="E69" s="5">
        <f t="shared" si="2"/>
        <v>170735.32896733301</v>
      </c>
    </row>
    <row r="70" spans="1:5" x14ac:dyDescent="0.25">
      <c r="A70" s="1">
        <v>45200</v>
      </c>
      <c r="C70">
        <f t="shared" si="0"/>
        <v>156497.46649096583</v>
      </c>
      <c r="D70" s="5">
        <f t="shared" si="1"/>
        <v>142108.88323205995</v>
      </c>
      <c r="E70" s="5">
        <f t="shared" si="2"/>
        <v>170886.04974987172</v>
      </c>
    </row>
    <row r="71" spans="1:5" x14ac:dyDescent="0.25">
      <c r="A71" s="1">
        <v>45230</v>
      </c>
      <c r="C71">
        <f t="shared" si="0"/>
        <v>146334.85984626596</v>
      </c>
      <c r="D71" s="5">
        <f t="shared" si="1"/>
        <v>131831.3454670597</v>
      </c>
      <c r="E71" s="5">
        <f t="shared" si="2"/>
        <v>160838.37422547222</v>
      </c>
    </row>
    <row r="72" spans="1:5" x14ac:dyDescent="0.25">
      <c r="A72" s="1">
        <v>45261</v>
      </c>
      <c r="C72">
        <f t="shared" si="0"/>
        <v>151192.40711591314</v>
      </c>
      <c r="D72" s="5">
        <f t="shared" si="1"/>
        <v>136573.17639782617</v>
      </c>
      <c r="E72" s="5">
        <f t="shared" si="2"/>
        <v>165811.63783400011</v>
      </c>
    </row>
    <row r="73" spans="1:5" x14ac:dyDescent="0.25">
      <c r="A73" s="1">
        <v>45291</v>
      </c>
      <c r="C73">
        <f t="shared" si="0"/>
        <v>153699.92596937268</v>
      </c>
      <c r="D73" s="5">
        <f t="shared" si="1"/>
        <v>138964.19982772678</v>
      </c>
      <c r="E73" s="5">
        <f t="shared" si="2"/>
        <v>168435.65211101857</v>
      </c>
    </row>
    <row r="74" spans="1:5" x14ac:dyDescent="0.25">
      <c r="A74" s="1">
        <v>45322</v>
      </c>
      <c r="C74">
        <f t="shared" si="0"/>
        <v>147687.5608204873</v>
      </c>
      <c r="D74" s="5">
        <f t="shared" si="1"/>
        <v>132832.86736552944</v>
      </c>
      <c r="E74" s="5">
        <f t="shared" si="2"/>
        <v>162542.25427544516</v>
      </c>
    </row>
    <row r="75" spans="1:5" x14ac:dyDescent="0.25">
      <c r="A75" s="1">
        <v>45353</v>
      </c>
      <c r="C75">
        <f t="shared" si="0"/>
        <v>148255.51318206263</v>
      </c>
      <c r="D75" s="5">
        <f t="shared" si="1"/>
        <v>133282.79765147335</v>
      </c>
      <c r="E75" s="5">
        <f t="shared" si="2"/>
        <v>163228.22871265191</v>
      </c>
    </row>
    <row r="76" spans="1:5" x14ac:dyDescent="0.25">
      <c r="A76" s="1">
        <v>45382</v>
      </c>
      <c r="C76">
        <f t="shared" si="0"/>
        <v>144273.50818595305</v>
      </c>
      <c r="D76" s="5">
        <f t="shared" si="1"/>
        <v>129182.00935471465</v>
      </c>
      <c r="E76" s="5">
        <f t="shared" si="2"/>
        <v>159365.00701719144</v>
      </c>
    </row>
    <row r="77" spans="1:5" x14ac:dyDescent="0.25">
      <c r="A77" s="1">
        <v>45413</v>
      </c>
      <c r="C77">
        <f t="shared" si="0"/>
        <v>154721.42907713607</v>
      </c>
      <c r="D77" s="5">
        <f t="shared" si="1"/>
        <v>139510.39157532825</v>
      </c>
      <c r="E77" s="5">
        <f t="shared" si="2"/>
        <v>169932.46657894389</v>
      </c>
    </row>
    <row r="78" spans="1:5" x14ac:dyDescent="0.25">
      <c r="A78" s="1">
        <v>45443</v>
      </c>
      <c r="C78">
        <f t="shared" si="0"/>
        <v>149641.21100077985</v>
      </c>
      <c r="D78" s="5">
        <f t="shared" si="1"/>
        <v>134309.8852432002</v>
      </c>
      <c r="E78" s="5">
        <f t="shared" si="2"/>
        <v>164972.53675835949</v>
      </c>
    </row>
    <row r="79" spans="1:5" x14ac:dyDescent="0.25">
      <c r="A79" s="1">
        <v>45474</v>
      </c>
      <c r="C79">
        <f t="shared" si="0"/>
        <v>158619.34588015592</v>
      </c>
      <c r="D79" s="5">
        <f t="shared" si="1"/>
        <v>143166.9879958455</v>
      </c>
      <c r="E79" s="5">
        <f t="shared" si="2"/>
        <v>174071.70376446634</v>
      </c>
    </row>
    <row r="80" spans="1:5" x14ac:dyDescent="0.25">
      <c r="A80" s="1">
        <v>45504</v>
      </c>
      <c r="C80">
        <f t="shared" si="0"/>
        <v>158795.54694945397</v>
      </c>
      <c r="D80" s="5">
        <f t="shared" si="1"/>
        <v>143221.41871120472</v>
      </c>
      <c r="E80" s="5">
        <f t="shared" si="2"/>
        <v>174369.67518770322</v>
      </c>
    </row>
    <row r="81" spans="1:5" x14ac:dyDescent="0.25">
      <c r="A81" s="1">
        <v>45535</v>
      </c>
      <c r="C81">
        <f t="shared" si="0"/>
        <v>157270.5915672968</v>
      </c>
      <c r="D81" s="5">
        <f t="shared" si="1"/>
        <v>141573.9603212119</v>
      </c>
      <c r="E81" s="5">
        <f t="shared" si="2"/>
        <v>172967.2228133817</v>
      </c>
    </row>
    <row r="82" spans="1:5" x14ac:dyDescent="0.25">
      <c r="A82" s="1">
        <v>45566</v>
      </c>
      <c r="C82">
        <f t="shared" si="0"/>
        <v>157307.17265065745</v>
      </c>
      <c r="D82" s="5">
        <f t="shared" si="1"/>
        <v>141487.31124583181</v>
      </c>
      <c r="E82" s="5">
        <f t="shared" si="2"/>
        <v>173127.03405548309</v>
      </c>
    </row>
    <row r="83" spans="1:5" x14ac:dyDescent="0.25">
      <c r="A83" s="1">
        <v>45596</v>
      </c>
      <c r="C83">
        <f t="shared" si="0"/>
        <v>147144.56600595757</v>
      </c>
      <c r="D83" s="5">
        <f t="shared" si="1"/>
        <v>131200.75272434024</v>
      </c>
      <c r="E83" s="5">
        <f t="shared" si="2"/>
        <v>163088.37928757491</v>
      </c>
    </row>
    <row r="84" spans="1:5" x14ac:dyDescent="0.25">
      <c r="A84" s="1">
        <v>45627</v>
      </c>
      <c r="C84">
        <f t="shared" si="0"/>
        <v>152002.11327560476</v>
      </c>
      <c r="D84" s="5">
        <f t="shared" si="1"/>
        <v>135933.63176210137</v>
      </c>
      <c r="E84" s="5">
        <f t="shared" si="2"/>
        <v>168070.59478910815</v>
      </c>
    </row>
    <row r="85" spans="1:5" x14ac:dyDescent="0.25">
      <c r="A85" s="1">
        <v>45657</v>
      </c>
      <c r="C85">
        <f t="shared" si="0"/>
        <v>154509.63212906432</v>
      </c>
      <c r="D85" s="5">
        <f t="shared" si="1"/>
        <v>138315.77132193328</v>
      </c>
      <c r="E85" s="5">
        <f t="shared" si="2"/>
        <v>170703.49293619537</v>
      </c>
    </row>
  </sheetData>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FAC87-178F-4AD8-88E3-B5486ECC812E}">
  <dimension ref="A3:L41"/>
  <sheetViews>
    <sheetView topLeftCell="A19" workbookViewId="0">
      <selection activeCell="E38" sqref="E38"/>
    </sheetView>
  </sheetViews>
  <sheetFormatPr defaultRowHeight="15" x14ac:dyDescent="0.25"/>
  <cols>
    <col min="1" max="1" width="13.140625" bestFit="1" customWidth="1"/>
    <col min="2" max="3" width="4.5703125" bestFit="1" customWidth="1"/>
    <col min="4" max="4" width="26.28515625" bestFit="1" customWidth="1"/>
    <col min="5" max="5" width="15.5703125" bestFit="1" customWidth="1"/>
    <col min="6" max="6" width="14" bestFit="1" customWidth="1"/>
    <col min="7" max="7" width="5" bestFit="1" customWidth="1"/>
    <col min="8" max="8" width="8.140625" bestFit="1" customWidth="1"/>
    <col min="9" max="9" width="4.85546875" bestFit="1" customWidth="1"/>
    <col min="10" max="10" width="13.140625" bestFit="1" customWidth="1"/>
    <col min="11" max="11" width="12.28515625" bestFit="1" customWidth="1"/>
    <col min="12" max="12" width="4.85546875" bestFit="1" customWidth="1"/>
    <col min="13" max="13" width="6.7109375" bestFit="1" customWidth="1"/>
    <col min="14" max="14" width="6.85546875" bestFit="1" customWidth="1"/>
    <col min="15" max="25" width="6.7109375" bestFit="1" customWidth="1"/>
    <col min="26" max="26" width="6.85546875" bestFit="1" customWidth="1"/>
    <col min="27" max="37" width="6.7109375" bestFit="1" customWidth="1"/>
    <col min="38" max="38" width="6.85546875" bestFit="1" customWidth="1"/>
    <col min="39" max="49" width="6.7109375" bestFit="1" customWidth="1"/>
    <col min="50" max="50" width="6.85546875" bestFit="1" customWidth="1"/>
    <col min="51" max="61" width="6.7109375" bestFit="1" customWidth="1"/>
    <col min="62" max="62" width="11.28515625" bestFit="1" customWidth="1"/>
    <col min="63" max="69" width="6.7109375" bestFit="1" customWidth="1"/>
    <col min="70" max="70" width="11.28515625" bestFit="1" customWidth="1"/>
  </cols>
  <sheetData>
    <row r="3" spans="1:12" x14ac:dyDescent="0.25">
      <c r="A3" s="2" t="s">
        <v>25</v>
      </c>
      <c r="B3" t="s">
        <v>26</v>
      </c>
      <c r="E3" s="2" t="s">
        <v>25</v>
      </c>
      <c r="F3" t="s">
        <v>27</v>
      </c>
      <c r="I3" s="2" t="s">
        <v>25</v>
      </c>
      <c r="J3" t="s">
        <v>28</v>
      </c>
    </row>
    <row r="4" spans="1:12" x14ac:dyDescent="0.25">
      <c r="A4" s="3" t="s">
        <v>20</v>
      </c>
      <c r="B4" s="4">
        <v>5312157</v>
      </c>
      <c r="E4" s="3" t="s">
        <v>16</v>
      </c>
      <c r="F4" s="4">
        <v>349.75089750088762</v>
      </c>
      <c r="I4" s="3" t="s">
        <v>24</v>
      </c>
      <c r="J4" s="6">
        <v>0.25557230447353935</v>
      </c>
    </row>
    <row r="5" spans="1:12" x14ac:dyDescent="0.25">
      <c r="A5" s="3" t="s">
        <v>21</v>
      </c>
      <c r="B5" s="4">
        <v>3917431</v>
      </c>
      <c r="E5" s="3" t="s">
        <v>17</v>
      </c>
      <c r="F5" s="4">
        <v>354.5513769341764</v>
      </c>
      <c r="I5" s="3" t="s">
        <v>22</v>
      </c>
      <c r="J5" s="6">
        <v>0.25170485515560753</v>
      </c>
    </row>
    <row r="6" spans="1:12" x14ac:dyDescent="0.25">
      <c r="A6" s="3" t="s">
        <v>22</v>
      </c>
      <c r="B6" s="4">
        <v>5739834</v>
      </c>
      <c r="E6" s="3" t="s">
        <v>14</v>
      </c>
      <c r="F6" s="4">
        <v>356.68221045517373</v>
      </c>
      <c r="I6" s="3" t="s">
        <v>20</v>
      </c>
      <c r="J6" s="6">
        <v>0.24319779432998392</v>
      </c>
    </row>
    <row r="7" spans="1:12" x14ac:dyDescent="0.25">
      <c r="A7" s="3" t="s">
        <v>23</v>
      </c>
      <c r="B7" s="4">
        <v>5326238</v>
      </c>
      <c r="E7" s="3" t="s">
        <v>15</v>
      </c>
      <c r="F7" s="4">
        <v>360.94071744459598</v>
      </c>
      <c r="I7" s="3" t="s">
        <v>23</v>
      </c>
      <c r="J7" s="6">
        <v>0.23410619811831301</v>
      </c>
    </row>
    <row r="8" spans="1:12" x14ac:dyDescent="0.25">
      <c r="A8" s="3" t="s">
        <v>24</v>
      </c>
      <c r="B8" s="4">
        <v>5947469</v>
      </c>
      <c r="E8" s="3" t="s">
        <v>19</v>
      </c>
      <c r="F8" s="4">
        <v>1421.9252023348336</v>
      </c>
      <c r="I8" s="3" t="s">
        <v>21</v>
      </c>
      <c r="J8" s="6">
        <v>0.19537354414005112</v>
      </c>
    </row>
    <row r="9" spans="1:12" x14ac:dyDescent="0.25">
      <c r="A9" s="3" t="s">
        <v>19</v>
      </c>
      <c r="B9" s="4">
        <v>26243129</v>
      </c>
      <c r="I9" s="3" t="s">
        <v>19</v>
      </c>
      <c r="J9" s="6">
        <v>0.23599093924349882</v>
      </c>
    </row>
    <row r="12" spans="1:12" x14ac:dyDescent="0.25">
      <c r="A12" s="2" t="s">
        <v>25</v>
      </c>
      <c r="B12" t="s">
        <v>27</v>
      </c>
      <c r="D12" s="2" t="s">
        <v>29</v>
      </c>
      <c r="E12" s="2" t="s">
        <v>18</v>
      </c>
      <c r="K12" s="2" t="s">
        <v>25</v>
      </c>
      <c r="L12" t="s">
        <v>3</v>
      </c>
    </row>
    <row r="13" spans="1:12" x14ac:dyDescent="0.25">
      <c r="A13" s="3" t="s">
        <v>12</v>
      </c>
      <c r="B13" s="4">
        <v>376.34300995945273</v>
      </c>
      <c r="D13" s="2" t="s">
        <v>25</v>
      </c>
      <c r="E13" t="s">
        <v>17</v>
      </c>
      <c r="F13" t="s">
        <v>16</v>
      </c>
      <c r="G13" t="s">
        <v>15</v>
      </c>
      <c r="H13" t="s">
        <v>14</v>
      </c>
      <c r="I13" t="s">
        <v>19</v>
      </c>
      <c r="K13" s="3" t="s">
        <v>20</v>
      </c>
      <c r="L13" s="4">
        <v>28553322</v>
      </c>
    </row>
    <row r="14" spans="1:12" x14ac:dyDescent="0.25">
      <c r="A14" s="3" t="s">
        <v>11</v>
      </c>
      <c r="B14" s="4">
        <v>357.40726582781116</v>
      </c>
      <c r="D14" s="3" t="s">
        <v>20</v>
      </c>
      <c r="E14" s="9">
        <v>0.19752434123818163</v>
      </c>
      <c r="F14" s="9">
        <v>0.20412908237932731</v>
      </c>
      <c r="G14" s="9">
        <v>0.1911077445512219</v>
      </c>
      <c r="H14" s="9">
        <v>0.20364313542646076</v>
      </c>
      <c r="I14" s="9">
        <v>0.19914600018929368</v>
      </c>
      <c r="K14" s="3" t="s">
        <v>21</v>
      </c>
      <c r="L14" s="4">
        <v>27541789</v>
      </c>
    </row>
    <row r="15" spans="1:12" x14ac:dyDescent="0.25">
      <c r="A15" s="3" t="s">
        <v>10</v>
      </c>
      <c r="B15" s="4">
        <v>354.87410769482301</v>
      </c>
      <c r="D15" s="3" t="s">
        <v>21</v>
      </c>
      <c r="E15" s="9">
        <v>0.20632698169485214</v>
      </c>
      <c r="F15" s="9">
        <v>0.20720397203339522</v>
      </c>
      <c r="G15" s="9">
        <v>0.19990165800301002</v>
      </c>
      <c r="H15" s="9">
        <v>0.20084965668800189</v>
      </c>
      <c r="I15" s="9">
        <v>0.20360361512576142</v>
      </c>
      <c r="K15" s="3" t="s">
        <v>22</v>
      </c>
      <c r="L15" s="4">
        <v>28829880</v>
      </c>
    </row>
    <row r="16" spans="1:12" x14ac:dyDescent="0.25">
      <c r="A16" s="3" t="s">
        <v>13</v>
      </c>
      <c r="B16" s="4">
        <v>333.3008188527466</v>
      </c>
      <c r="D16" s="3" t="s">
        <v>22</v>
      </c>
      <c r="E16" s="9">
        <v>0.1961238830443385</v>
      </c>
      <c r="F16" s="9">
        <v>0.20619899480322679</v>
      </c>
      <c r="G16" s="9">
        <v>0.2077182359425529</v>
      </c>
      <c r="H16" s="9">
        <v>0.18289687846847141</v>
      </c>
      <c r="I16" s="9">
        <v>0.19822691341931112</v>
      </c>
      <c r="K16" s="3" t="s">
        <v>23</v>
      </c>
      <c r="L16" s="4">
        <v>28619708</v>
      </c>
    </row>
    <row r="17" spans="1:12" x14ac:dyDescent="0.25">
      <c r="A17" s="3" t="s">
        <v>19</v>
      </c>
      <c r="B17" s="4">
        <v>1421.9252023348336</v>
      </c>
      <c r="D17" s="3" t="s">
        <v>23</v>
      </c>
      <c r="E17" s="9">
        <v>0.20204299849242127</v>
      </c>
      <c r="F17" s="9">
        <v>0.197727699167277</v>
      </c>
      <c r="G17" s="9">
        <v>0.19943459787214815</v>
      </c>
      <c r="H17" s="9">
        <v>0.20399460271107633</v>
      </c>
      <c r="I17" s="9">
        <v>0.20079556075644453</v>
      </c>
      <c r="K17" s="3" t="s">
        <v>24</v>
      </c>
      <c r="L17" s="4">
        <v>29082259</v>
      </c>
    </row>
    <row r="18" spans="1:12" x14ac:dyDescent="0.25">
      <c r="D18" s="3" t="s">
        <v>24</v>
      </c>
      <c r="E18" s="9">
        <v>0.19798179553020648</v>
      </c>
      <c r="F18" s="9">
        <v>0.18474025161677368</v>
      </c>
      <c r="G18" s="9">
        <v>0.20183776363106704</v>
      </c>
      <c r="H18" s="9">
        <v>0.20861572670598963</v>
      </c>
      <c r="I18" s="9">
        <v>0.19822791050918925</v>
      </c>
      <c r="K18" s="3" t="s">
        <v>19</v>
      </c>
      <c r="L18" s="4">
        <v>142626958</v>
      </c>
    </row>
    <row r="19" spans="1:12" x14ac:dyDescent="0.25">
      <c r="D19" s="3" t="s">
        <v>19</v>
      </c>
      <c r="E19" s="8">
        <v>1</v>
      </c>
      <c r="F19" s="8">
        <v>1</v>
      </c>
      <c r="G19" s="8">
        <v>1</v>
      </c>
      <c r="H19" s="8">
        <v>1</v>
      </c>
      <c r="I19" s="8">
        <v>1</v>
      </c>
    </row>
    <row r="23" spans="1:12" x14ac:dyDescent="0.25">
      <c r="A23" s="2" t="s">
        <v>25</v>
      </c>
      <c r="B23" t="s">
        <v>30</v>
      </c>
      <c r="C23" t="s">
        <v>31</v>
      </c>
      <c r="E23" s="2" t="s">
        <v>25</v>
      </c>
      <c r="F23" t="s">
        <v>6</v>
      </c>
      <c r="G23" t="s">
        <v>3</v>
      </c>
      <c r="I23" t="s">
        <v>3</v>
      </c>
      <c r="K23" s="2" t="s">
        <v>25</v>
      </c>
      <c r="L23" t="s">
        <v>30</v>
      </c>
    </row>
    <row r="24" spans="1:12" x14ac:dyDescent="0.25">
      <c r="A24" s="3" t="s">
        <v>20</v>
      </c>
      <c r="B24" s="5">
        <v>4.5746720194029256E-2</v>
      </c>
      <c r="C24" s="5">
        <v>0.1536915387988638</v>
      </c>
      <c r="E24" s="3" t="s">
        <v>20</v>
      </c>
      <c r="F24" s="4">
        <v>5312157</v>
      </c>
      <c r="G24" s="4">
        <v>28553322</v>
      </c>
      <c r="I24" s="4">
        <v>142626958</v>
      </c>
      <c r="J24" s="11"/>
      <c r="K24" s="3" t="s">
        <v>20</v>
      </c>
      <c r="L24" s="5">
        <v>4.5746720194029256E-2</v>
      </c>
    </row>
    <row r="25" spans="1:12" x14ac:dyDescent="0.25">
      <c r="A25" s="3" t="s">
        <v>21</v>
      </c>
      <c r="B25" s="5">
        <v>3.5306984836917341E-2</v>
      </c>
      <c r="C25" s="5">
        <v>0.22693865799408761</v>
      </c>
      <c r="E25" s="3" t="s">
        <v>21</v>
      </c>
      <c r="F25" s="4">
        <v>3917431</v>
      </c>
      <c r="G25" s="4">
        <v>27541789</v>
      </c>
      <c r="K25" s="3" t="s">
        <v>21</v>
      </c>
      <c r="L25" s="5">
        <v>3.5306984836917341E-2</v>
      </c>
    </row>
    <row r="26" spans="1:12" x14ac:dyDescent="0.25">
      <c r="A26" s="3" t="s">
        <v>22</v>
      </c>
      <c r="B26" s="5">
        <v>4.896199488195873E-2</v>
      </c>
      <c r="C26" s="5">
        <v>0.19736414962216911</v>
      </c>
      <c r="E26" s="3" t="s">
        <v>22</v>
      </c>
      <c r="F26" s="4">
        <v>5739834</v>
      </c>
      <c r="G26" s="4">
        <v>28829880</v>
      </c>
      <c r="K26" s="3" t="s">
        <v>22</v>
      </c>
      <c r="L26" s="5">
        <v>4.896199488195873E-2</v>
      </c>
    </row>
    <row r="27" spans="1:12" x14ac:dyDescent="0.25">
      <c r="A27" s="3" t="s">
        <v>23</v>
      </c>
      <c r="B27" s="5">
        <v>4.5953874035274914E-2</v>
      </c>
      <c r="C27" s="5">
        <v>0.19634410779082642</v>
      </c>
      <c r="E27" s="3" t="s">
        <v>23</v>
      </c>
      <c r="F27" s="4">
        <v>5326238</v>
      </c>
      <c r="G27" s="4">
        <v>28619708</v>
      </c>
      <c r="I27" t="s">
        <v>44</v>
      </c>
      <c r="K27" s="3" t="s">
        <v>23</v>
      </c>
      <c r="L27" s="5">
        <v>4.5953874035274914E-2</v>
      </c>
    </row>
    <row r="28" spans="1:12" ht="15.75" x14ac:dyDescent="0.25">
      <c r="A28" s="3" t="s">
        <v>24</v>
      </c>
      <c r="B28" s="5">
        <v>4.9834231085940102E-2</v>
      </c>
      <c r="C28" s="5">
        <v>0.19825053284587615</v>
      </c>
      <c r="E28" s="3" t="s">
        <v>24</v>
      </c>
      <c r="F28" s="4">
        <v>5947469</v>
      </c>
      <c r="G28" s="4">
        <v>29082259</v>
      </c>
      <c r="I28" s="13">
        <v>26243129</v>
      </c>
      <c r="K28" s="3" t="s">
        <v>24</v>
      </c>
      <c r="L28" s="5">
        <v>4.9834231085940102E-2</v>
      </c>
    </row>
    <row r="29" spans="1:12" x14ac:dyDescent="0.25">
      <c r="A29" s="3" t="s">
        <v>19</v>
      </c>
      <c r="B29" s="5">
        <v>4.5281599825998588E-2</v>
      </c>
      <c r="C29" s="5">
        <v>0.19011924090062801</v>
      </c>
      <c r="E29" s="3" t="s">
        <v>19</v>
      </c>
      <c r="F29" s="4">
        <v>26243129</v>
      </c>
      <c r="G29" s="4">
        <v>142626958</v>
      </c>
      <c r="K29" s="3" t="s">
        <v>19</v>
      </c>
      <c r="L29" s="5">
        <v>4.5281599825998588E-2</v>
      </c>
    </row>
    <row r="31" spans="1:12" x14ac:dyDescent="0.25">
      <c r="G31" t="s">
        <v>31</v>
      </c>
      <c r="I31" t="s">
        <v>30</v>
      </c>
    </row>
    <row r="32" spans="1:12" ht="15.75" x14ac:dyDescent="0.25">
      <c r="A32" s="2" t="s">
        <v>25</v>
      </c>
      <c r="B32" t="s">
        <v>31</v>
      </c>
      <c r="G32" s="14">
        <v>0.19011924090062801</v>
      </c>
      <c r="I32" s="5">
        <v>4.5281599825998588E-2</v>
      </c>
    </row>
    <row r="33" spans="1:11" x14ac:dyDescent="0.25">
      <c r="A33" s="3" t="s">
        <v>20</v>
      </c>
      <c r="B33" s="5">
        <v>0.1536915387988638</v>
      </c>
    </row>
    <row r="34" spans="1:11" x14ac:dyDescent="0.25">
      <c r="A34" s="3" t="s">
        <v>21</v>
      </c>
      <c r="B34" s="5">
        <v>0.22693865799408761</v>
      </c>
      <c r="E34" t="s">
        <v>45</v>
      </c>
      <c r="J34" s="2" t="s">
        <v>25</v>
      </c>
      <c r="K34" t="s">
        <v>45</v>
      </c>
    </row>
    <row r="35" spans="1:11" x14ac:dyDescent="0.25">
      <c r="A35" s="3" t="s">
        <v>22</v>
      </c>
      <c r="B35" s="5">
        <v>0.19736414962216911</v>
      </c>
      <c r="E35" s="10">
        <v>0.18399837848325981</v>
      </c>
      <c r="J35" s="3" t="s">
        <v>20</v>
      </c>
      <c r="K35" s="10">
        <v>0.1860433962815255</v>
      </c>
    </row>
    <row r="36" spans="1:11" x14ac:dyDescent="0.25">
      <c r="A36" s="3" t="s">
        <v>23</v>
      </c>
      <c r="B36" s="5">
        <v>0.19634410779082642</v>
      </c>
      <c r="J36" s="3" t="s">
        <v>21</v>
      </c>
      <c r="K36" s="10">
        <v>0.1422358946980532</v>
      </c>
    </row>
    <row r="37" spans="1:11" x14ac:dyDescent="0.25">
      <c r="A37" s="3" t="s">
        <v>24</v>
      </c>
      <c r="B37" s="5">
        <v>0.19825053284587615</v>
      </c>
      <c r="D37" s="12"/>
      <c r="E37" t="s">
        <v>44</v>
      </c>
      <c r="F37" s="12"/>
      <c r="G37" s="12"/>
      <c r="H37" s="12"/>
      <c r="J37" s="3" t="s">
        <v>22</v>
      </c>
      <c r="K37" s="10">
        <v>0.19909323243801222</v>
      </c>
    </row>
    <row r="38" spans="1:11" ht="15.75" x14ac:dyDescent="0.25">
      <c r="A38" s="3" t="s">
        <v>19</v>
      </c>
      <c r="B38" s="5">
        <v>0.19011924090062801</v>
      </c>
      <c r="E38" s="13">
        <v>26243129</v>
      </c>
      <c r="J38" s="3" t="s">
        <v>23</v>
      </c>
      <c r="K38" s="10">
        <v>0.18610385542717628</v>
      </c>
    </row>
    <row r="39" spans="1:11" x14ac:dyDescent="0.25">
      <c r="B39" s="4"/>
      <c r="J39" s="3" t="s">
        <v>24</v>
      </c>
      <c r="K39" s="10">
        <v>0.20450505581426806</v>
      </c>
    </row>
    <row r="40" spans="1:11" x14ac:dyDescent="0.25">
      <c r="B40" s="4"/>
      <c r="J40" s="3" t="s">
        <v>19</v>
      </c>
      <c r="K40" s="10">
        <v>0.18399837848325981</v>
      </c>
    </row>
    <row r="41" spans="1:11" x14ac:dyDescent="0.25">
      <c r="B41" s="4"/>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markers="1" high="1" low="1" first="1" last="1" negative="1" xr2:uid="{5A0CDD4C-9506-4797-874F-B6D31ECCC67A}">
          <x14:colorSeries theme="0"/>
          <x14:colorNegative rgb="FFFF6B6B"/>
          <x14:colorAxis rgb="FF000000"/>
          <x14:colorMarkers rgb="FFFF6B6B"/>
          <x14:colorFirst rgb="FFFF6B6B"/>
          <x14:colorLast rgb="FFFF6B6B"/>
          <x14:colorHigh rgb="FFFF6B6B"/>
          <x14:colorLow rgb="FFFF6B6B"/>
          <x14:sparklines>
            <x14:sparkline>
              <xm:f>Analysis!D37:H37</xm:f>
              <xm:sqref>I37</xm:sqref>
            </x14:sparkline>
          </x14:sparklines>
        </x14:sparklineGroup>
        <x14:sparklineGroup displayEmptyCellsAs="gap" xr2:uid="{58720E18-6D79-4CD0-85B5-88D6C2D4B770}">
          <x14:colorSeries rgb="FF000000"/>
          <x14:colorNegative rgb="FF0070C0"/>
          <x14:colorAxis rgb="FF000000"/>
          <x14:colorMarkers rgb="FF0070C0"/>
          <x14:colorFirst rgb="FF0070C0"/>
          <x14:colorLast rgb="FF0070C0"/>
          <x14:colorHigh rgb="FF0070C0"/>
          <x14:colorLow rgb="FF0070C0"/>
          <x14:sparklines>
            <x14:sparkline>
              <xm:f>Analysis!I24</xm:f>
              <xm:sqref>J24</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24535-2A48-4C7A-B1DC-3A9A550E1450}">
  <dimension ref="A1"/>
  <sheetViews>
    <sheetView zoomScale="50" zoomScaleNormal="50" workbookViewId="0">
      <selection activeCell="AJ11" sqref="AJ11"/>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2554A-38F3-4116-9C2E-9408249511F1}">
  <dimension ref="A1"/>
  <sheetViews>
    <sheetView showGridLines="0" tabSelected="1" zoomScale="90" zoomScaleNormal="90" workbookViewId="0">
      <selection activeCell="E4" sqref="E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11079BBA-5A79-4957-8C92-3A628436EB12}">
  <ds:schemaRefs/>
</ds:datastoreItem>
</file>

<file path=customXml/itemProps2.xml><?xml version="1.0" encoding="utf-8"?>
<ds:datastoreItem xmlns:ds="http://schemas.openxmlformats.org/officeDocument/2006/customXml" ds:itemID="{C4F529A9-C734-4A21-87BB-577F079A2084}">
  <ds:schemaRefs/>
</ds:datastoreItem>
</file>

<file path=customXml/itemProps3.xml><?xml version="1.0" encoding="utf-8"?>
<ds:datastoreItem xmlns:ds="http://schemas.openxmlformats.org/officeDocument/2006/customXml" ds:itemID="{815F9B52-E7ED-4C8A-A5BB-DC86155FC386}">
  <ds:schemaRefs/>
</ds:datastoreItem>
</file>

<file path=customXml/itemProps4.xml><?xml version="1.0" encoding="utf-8"?>
<ds:datastoreItem xmlns:ds="http://schemas.openxmlformats.org/officeDocument/2006/customXml" ds:itemID="{CA7E0860-42FC-4007-8634-75B795F5A33F}">
  <ds:schemaRefs/>
</ds:datastoreItem>
</file>

<file path=customXml/itemProps5.xml><?xml version="1.0" encoding="utf-8"?>
<ds:datastoreItem xmlns:ds="http://schemas.openxmlformats.org/officeDocument/2006/customXml" ds:itemID="{8C911699-5803-4E0C-9D36-5EAD06BCCC2E}">
  <ds:schemaRefs/>
</ds:datastoreItem>
</file>

<file path=customXml/itemProps6.xml><?xml version="1.0" encoding="utf-8"?>
<ds:datastoreItem xmlns:ds="http://schemas.openxmlformats.org/officeDocument/2006/customXml" ds:itemID="{F95547A9-7BF2-4DD9-8989-0059AE95AD5D}">
  <ds:schemaRefs/>
</ds:datastoreItem>
</file>

<file path=customXml/itemProps7.xml><?xml version="1.0" encoding="utf-8"?>
<ds:datastoreItem xmlns:ds="http://schemas.openxmlformats.org/officeDocument/2006/customXml" ds:itemID="{BB2F6295-C0C5-45B7-BCC8-D9E92B207E3D}">
  <ds:schemaRefs/>
</ds:datastoreItem>
</file>

<file path=customXml/itemProps8.xml><?xml version="1.0" encoding="utf-8"?>
<ds:datastoreItem xmlns:ds="http://schemas.openxmlformats.org/officeDocument/2006/customXml" ds:itemID="{DFAD2D33-B26F-4DA9-8E2F-8D9DE014D3E8}">
  <ds:schemaRefs>
    <ds:schemaRef ds:uri="http://schemas.microsoft.com/DataMashup"/>
  </ds:schemaRefs>
</ds:datastoreItem>
</file>

<file path=customXml/itemProps9.xml><?xml version="1.0" encoding="utf-8"?>
<ds:datastoreItem xmlns:ds="http://schemas.openxmlformats.org/officeDocument/2006/customXml" ds:itemID="{6D7A3574-7CE4-42BC-9D9B-85772B6228C3}">
  <ds:schemaRefs/>
</ds:datastoreItem>
</file>

<file path=customXml/itemProps10.xml><?xml version="1.0" encoding="utf-8"?>
<ds:datastoreItem xmlns:ds="http://schemas.openxmlformats.org/officeDocument/2006/customXml" ds:itemID="{EAE397B9-75A5-453A-BE3A-1CBC29CE5385}">
  <ds:schemaRefs/>
</ds:datastoreItem>
</file>

<file path=customXml/itemProps11.xml><?xml version="1.0" encoding="utf-8"?>
<ds:datastoreItem xmlns:ds="http://schemas.openxmlformats.org/officeDocument/2006/customXml" ds:itemID="{4A0EEB69-5C2E-46A6-B145-6FA8DFFBD29E}">
  <ds:schemaRefs/>
</ds:datastoreItem>
</file>

<file path=customXml/itemProps12.xml><?xml version="1.0" encoding="utf-8"?>
<ds:datastoreItem xmlns:ds="http://schemas.openxmlformats.org/officeDocument/2006/customXml" ds:itemID="{DDC66CF8-F41C-4D84-B6E5-6619D1762498}">
  <ds:schemaRefs/>
</ds:datastoreItem>
</file>

<file path=customXml/itemProps13.xml><?xml version="1.0" encoding="utf-8"?>
<ds:datastoreItem xmlns:ds="http://schemas.openxmlformats.org/officeDocument/2006/customXml" ds:itemID="{DB0D12D4-1DCC-4B43-8799-16D560B85AD6}">
  <ds:schemaRefs/>
</ds:datastoreItem>
</file>

<file path=customXml/itemProps14.xml><?xml version="1.0" encoding="utf-8"?>
<ds:datastoreItem xmlns:ds="http://schemas.openxmlformats.org/officeDocument/2006/customXml" ds:itemID="{CD151014-566E-4E86-87F4-B48A926B656A}">
  <ds:schemaRefs/>
</ds:datastoreItem>
</file>

<file path=customXml/itemProps15.xml><?xml version="1.0" encoding="utf-8"?>
<ds:datastoreItem xmlns:ds="http://schemas.openxmlformats.org/officeDocument/2006/customXml" ds:itemID="{700C9579-E8A1-4DE6-AF36-93C1BAA16DE2}">
  <ds:schemaRefs/>
</ds:datastoreItem>
</file>

<file path=customXml/itemProps16.xml><?xml version="1.0" encoding="utf-8"?>
<ds:datastoreItem xmlns:ds="http://schemas.openxmlformats.org/officeDocument/2006/customXml" ds:itemID="{BD082E83-A6A6-47D9-A44B-40CC04795412}">
  <ds:schemaRefs/>
</ds:datastoreItem>
</file>

<file path=customXml/itemProps17.xml><?xml version="1.0" encoding="utf-8"?>
<ds:datastoreItem xmlns:ds="http://schemas.openxmlformats.org/officeDocument/2006/customXml" ds:itemID="{7D46B5AE-1794-4EF7-B5A2-69F01F33F010}">
  <ds:schemaRefs/>
</ds:datastoreItem>
</file>

<file path=customXml/itemProps18.xml><?xml version="1.0" encoding="utf-8"?>
<ds:datastoreItem xmlns:ds="http://schemas.openxmlformats.org/officeDocument/2006/customXml" ds:itemID="{8C8A470F-1E52-405F-95F6-0BE8E2193057}">
  <ds:schemaRefs/>
</ds:datastoreItem>
</file>

<file path=customXml/itemProps19.xml><?xml version="1.0" encoding="utf-8"?>
<ds:datastoreItem xmlns:ds="http://schemas.openxmlformats.org/officeDocument/2006/customXml" ds:itemID="{00C71475-388D-4E10-958D-37E243D603AE}">
  <ds:schemaRefs/>
</ds:datastoreItem>
</file>

<file path=customXml/itemProps20.xml><?xml version="1.0" encoding="utf-8"?>
<ds:datastoreItem xmlns:ds="http://schemas.openxmlformats.org/officeDocument/2006/customXml" ds:itemID="{5B46F753-D69E-4BBB-A2F9-2821445EC3CE}">
  <ds:schemaRefs/>
</ds:datastoreItem>
</file>

<file path=customXml/itemProps21.xml><?xml version="1.0" encoding="utf-8"?>
<ds:datastoreItem xmlns:ds="http://schemas.openxmlformats.org/officeDocument/2006/customXml" ds:itemID="{55314402-9218-472D-906C-6ABB7A9B5593}">
  <ds:schemaRefs/>
</ds:datastoreItem>
</file>

<file path=customXml/itemProps22.xml><?xml version="1.0" encoding="utf-8"?>
<ds:datastoreItem xmlns:ds="http://schemas.openxmlformats.org/officeDocument/2006/customXml" ds:itemID="{B454FAC3-01D8-4F1E-A868-8AED6EAF4596}">
  <ds:schemaRefs/>
</ds:datastoreItem>
</file>

<file path=customXml/itemProps23.xml><?xml version="1.0" encoding="utf-8"?>
<ds:datastoreItem xmlns:ds="http://schemas.openxmlformats.org/officeDocument/2006/customXml" ds:itemID="{E17576F5-AA7E-4680-B1BF-530B0F51F426}">
  <ds:schemaRefs/>
</ds:datastoreItem>
</file>

<file path=customXml/itemProps24.xml><?xml version="1.0" encoding="utf-8"?>
<ds:datastoreItem xmlns:ds="http://schemas.openxmlformats.org/officeDocument/2006/customXml" ds:itemID="{C875D7D4-2ABA-46BF-9E03-257DA1D0C47A}">
  <ds:schemaRefs/>
</ds:datastoreItem>
</file>

<file path=customXml/itemProps25.xml><?xml version="1.0" encoding="utf-8"?>
<ds:datastoreItem xmlns:ds="http://schemas.openxmlformats.org/officeDocument/2006/customXml" ds:itemID="{5B0B5DE6-A629-4C94-954E-2BB440360030}">
  <ds:schemaRefs/>
</ds:datastoreItem>
</file>

<file path=customXml/itemProps26.xml><?xml version="1.0" encoding="utf-8"?>
<ds:datastoreItem xmlns:ds="http://schemas.openxmlformats.org/officeDocument/2006/customXml" ds:itemID="{3453A58C-53F7-4561-92EE-53B5743184C7}">
  <ds:schemaRefs/>
</ds:datastoreItem>
</file>

<file path=customXml/itemProps27.xml><?xml version="1.0" encoding="utf-8"?>
<ds:datastoreItem xmlns:ds="http://schemas.openxmlformats.org/officeDocument/2006/customXml" ds:itemID="{A9B7A885-A37F-4CB0-8DFF-5F9C78457B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Finance</vt:lpstr>
      <vt:lpstr>Forecast Analysis</vt:lpstr>
      <vt:lpstr>Analysis</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ZHK</dc:creator>
  <cp:lastModifiedBy>Zacham Kabantiok</cp:lastModifiedBy>
  <dcterms:created xsi:type="dcterms:W3CDTF">2025-09-29T20:33:53Z</dcterms:created>
  <dcterms:modified xsi:type="dcterms:W3CDTF">2025-10-01T21:04:33Z</dcterms:modified>
</cp:coreProperties>
</file>